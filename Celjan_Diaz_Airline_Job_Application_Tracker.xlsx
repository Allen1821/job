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d2bd8f6b124e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49bdfdad83a471c"/>
    <x:sheet xmlns:r="http://schemas.openxmlformats.org/officeDocument/2006/relationships" name="Job Tracker" sheetId="2" r:id="Rc6699323e1ab456a"/>
    <x:sheet xmlns:r="http://schemas.openxmlformats.org/officeDocument/2006/relationships" name="Airline Watchlist" sheetId="3" r:id="Rc369bceacddb4b05"/>
    <x:sheet xmlns:r="http://schemas.openxmlformats.org/officeDocument/2006/relationships" name="Application Checklist" sheetId="4" r:id="Re4cac545c7d34e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yy"/>
    <x:numFmt numFmtId="201" formatCode="0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2033"/>
      <x:name val="Carlito"/>
    </x:font>
    <x:font>
      <x:b/>
      <x:sz val="10"/>
      <x:color rgb="FF92400E"/>
      <x:name val="Carlito"/>
    </x:font>
    <x:font>
      <x:b/>
      <x:sz val="10"/>
      <x:color rgb="FFFFFFFF"/>
      <x:name val="Carlito"/>
    </x:font>
    <x:font>
      <x:sz val="9"/>
      <x:name val="Carlito"/>
    </x:font>
    <x:font>
      <x:sz val="9"/>
      <x:color rgb="FF0563C1"/>
      <x:name val="Carlito"/>
    </x:font>
    <x:font>
      <x:b/>
      <x:sz val="18"/>
      <x:color rgb="FFFFFFFF"/>
      <x:name val="Carlito"/>
    </x:font>
    <x:font>
      <x:i/>
      <x:sz val="11"/>
      <x:color rgb="FF172033"/>
      <x:name val="Carlito"/>
    </x:font>
    <x:font>
      <x:b/>
      <x:sz val="11"/>
      <x:color rgb="FFFFFFFF"/>
      <x:name val="Carlito"/>
    </x:font>
    <x:font>
      <x:b/>
      <x:sz val="20"/>
      <x:color rgb="FF16324F"/>
      <x:name val="Carlito"/>
    </x:font>
    <x:font>
      <x:b/>
      <x:sz val="13"/>
      <x:color rgb="FF16324F"/>
      <x:name val="Carlito"/>
    </x:font>
    <x:font>
      <x:b/>
      <x:sz val="12"/>
      <x:color rgb="FF16324F"/>
      <x:name val="Carlito"/>
    </x:font>
    <x:font>
      <x:sz val="1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AF7"/>
      </x:patternFill>
    </x:fill>
    <x:fill>
      <x:patternFill patternType="solid">
        <x:fgColor rgb="FFFEF3C7"/>
      </x:patternFill>
    </x:fill>
    <x:fill>
      <x:patternFill patternType="solid">
        <x:fgColor rgb="FF1E6091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1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horizontal="center" wrapText="1"/>
    </x:xf>
    <x:xf numFmtId="0" fontId="9" fillId="5" borderId="0" xfId="0" applyNumberFormat="1" applyFont="1" applyFill="1" applyBorder="1" applyAlignment="1">
      <x:alignment horizontal="center" vertical="center" wrapText="1"/>
    </x:xf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horizontal="center" wrapText="1"/>
    </x:xf>
    <x:xf numFmtId="0" fontId="9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center"/>
    </x:xf>
    <x:xf numFmtId="0" fontId="10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10" fillId="6" borderId="1" xfId="0" applyNumberFormat="1" applyFont="1" applyFill="1" applyBorder="1"/>
    <x:xf numFmtId="0" fontId="10" fillId="6" borderId="1" xfId="0" applyNumberFormat="1" applyFont="1" applyFill="1" applyBorder="1" applyAlignment="1">
      <x:alignment horizontal="center"/>
    </x:xf>
    <x:xf numFmtId="0" fontId="10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horizontal="center" vertical="center" wrapText="1"/>
    </x:xf>
    <x:xf numFmtId="0" fontId="11" fillId="8" borderId="1" xfId="0" applyNumberFormat="1" applyFont="1" applyFill="1" applyBorder="1" applyAlignment="1">
      <x:alignment vertical="center" wrapText="1"/>
    </x:xf>
    <x:xf numFmtId="0" fontId="11" fillId="8" borderId="1" xfId="0" applyNumberFormat="1" applyFont="1" applyFill="1" applyBorder="1" applyAlignment="1">
      <x:alignment horizontal="center" vertical="center" wrapText="1"/>
    </x:xf>
    <x:xf numFmtId="0" fontId="9" fillId="5" borderId="0" xfId="0" applyNumberFormat="1" applyFont="1" applyFill="1" applyBorder="1" applyAlignment="1">
      <x:alignment horizontal="center"/>
    </x:xf>
    <x:xf numFmtId="0" fontId="9" fillId="5" borderId="1" xfId="0" applyNumberFormat="1" applyFont="1" applyFill="1" applyBorder="1" applyAlignment="1">
      <x:alignment horizontal="center"/>
    </x:xf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horizontal="center"/>
    </x:xf>
    <x:xf numFmtId="0" fontId="12" fillId="3" borderId="0" xfId="0" applyNumberFormat="1" applyFont="1" applyFill="1" applyBorder="1" applyAlignment="1">
      <x:alignment horizontal="center" vertical="center"/>
    </x:xf>
    <x:xf numFmtId="0" fontId="12" fillId="3" borderId="1" xfId="0" applyNumberFormat="1" applyFont="1" applyFill="1" applyBorder="1"/>
    <x:xf numFmtId="0" fontId="12" fillId="3" borderId="1" xfId="0" applyNumberFormat="1" applyFont="1" applyFill="1" applyBorder="1" applyAlignment="1">
      <x:alignment horizontal="center"/>
    </x:xf>
    <x:xf numFmtId="0" fontId="12" fillId="3" borderId="1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 applyAlignment="1">
      <x:alignment horizontal="center" vertical="center"/>
    </x:xf>
    <x:xf numFmtId="0" fontId="9" fillId="5" borderId="1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top" wrapText="1"/>
    </x:xf>
    <x:xf numFmtId="0" fontId="13" fillId="0" borderId="1" xfId="0" applyNumberFormat="1" applyFont="1" applyFill="1" applyBorder="1"/>
    <x:xf numFmtId="0" fontId="13" fillId="0" borderId="1" xfId="0" applyNumberFormat="1" applyFont="1" applyFill="1" applyBorder="1" applyAlignment="1">
      <x:alignment wrapText="1"/>
    </x:xf>
    <x:xf numFmtId="0" fontId="13" fillId="0" borderId="1" xfId="0" applyNumberFormat="1" applyFont="1" applyFill="1" applyBorder="1" applyAlignment="1">
      <x:alignment vertical="top" wrapText="1"/>
    </x:xf>
    <x:xf numFmtId="200" fontId="1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5" fillId="0" xfId="0" applyNumberFormat="1" applyFont="1" applyFill="1" applyBorder="0"/>
    <x:xf numFmtId="0" fontId="5" fillId="0" xfId="0" applyNumberFormat="1" applyFont="1" applyFill="1" applyBorder="0" applyAlignment="1">
      <x:alignment wrapText="1"/>
    </x:xf>
    <x:xf numFmtId="0" fontId="5" fillId="0" xfId="0" applyNumberFormat="1" applyFont="1" applyFill="1" applyBorder="0" applyAlignment="1">
      <x:alignment vertical="top" wrapText="1"/>
    </x:xf>
    <x:xf numFmtId="200" fontId="5" fillId="0" xfId="0" applyNumberFormat="1" applyFont="1" applyFill="1" applyBorder="0" applyAlignment="1">
      <x:alignment vertical="top" wrapText="1"/>
    </x:xf>
    <x:xf numFmtId="201" fontId="5" fillId="0" xfId="0" applyNumberFormat="1" applyFont="1" applyFill="1" applyBorder="0" applyAlignment="1">
      <x:alignment vertical="top" wrapText="1"/>
    </x:xf>
    <x:xf numFmtId="0" fontId="6" fillId="0" xfId="0" applyNumberFormat="1" applyFont="1" applyFill="1" applyBorder="0" applyAlignment="1">
      <x:alignment vertical="top" wrapText="1"/>
    </x:xf>
    <x:xf numFmtId="200" fontId="0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0" xfId="0" applyNumberFormat="1" applyFont="1" applyFill="1" applyBorder="0"/>
    <x:xf numFmtId="200" fontId="5" fillId="0" xfId="0" applyNumberFormat="1" applyFont="1" applyFill="1" applyBorder="0" applyAlignment="1">
      <x:alignment wrapText="1"/>
    </x:xf>
  </x:cellXfs>
  <x:cellStyles count="1">
    <x:cellStyle name="Normal" xfId="0"/>
  </x:cellStyles>
  <x:dxfs count="26">
    <x:dxf>
      <x:font>
        <x:color rgb="FF166534"/>
      </x:font>
      <x:fill>
        <x:patternFill>
          <x:bgColor rgb="FFDCFCE7"/>
        </x:patternFill>
      </x:fill>
    </x:dxf>
    <x:dxf>
      <x:font>
        <x:color rgb="FF065F46"/>
      </x:font>
      <x:fill>
        <x:patternFill>
          <x:bgColor rgb="FFD1FAE5"/>
        </x:patternFill>
      </x:fill>
    </x:dxf>
    <x:dxf>
      <x:font>
        <x:color rgb="FF1E40AF"/>
      </x:font>
      <x:fill>
        <x:patternFill>
          <x:bgColor rgb="FFDBEAFE"/>
        </x:patternFill>
      </x:fill>
    </x:dxf>
    <x:dxf>
      <x:font>
        <x:color rgb="FF5B21B6"/>
      </x:font>
      <x:fill>
        <x:patternFill>
          <x:bgColor rgb="FFEDE9FE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065F46"/>
      </x:font>
      <x:fill>
        <x:patternFill patternType="solid">
          <x:bgColor rgb="FFD1FAE5"/>
        </x:patternFill>
      </x:fill>
    </x:dxf>
    <x:dxf>
      <x:font>
        <x:color rgb="FF1E40AF"/>
      </x:font>
      <x:fill>
        <x:patternFill patternType="solid">
          <x:bgColor rgb="FFDBEAFE"/>
        </x:patternFill>
      </x:fill>
    </x:dxf>
    <x:dxf>
      <x:font>
        <x:color rgb="FF5B21B6"/>
      </x:font>
      <x:fill>
        <x:patternFill patternType="solid">
          <x:bgColor rgb="FFEDE9FE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f977340b7048e2" /><Relationship Type="http://schemas.openxmlformats.org/officeDocument/2006/relationships/theme" Target="/xl/theme/theme1.xml" Id="R7c40827504ae4b3b" /><Relationship Type="http://schemas.openxmlformats.org/officeDocument/2006/relationships/sharedStrings" Target="/xl/sharedStrings.xml" Id="Rac2910e5597243e1" /><Relationship Type="http://schemas.openxmlformats.org/officeDocument/2006/relationships/worksheet" Target="/xl/worksheets/sheet1.xml" Id="R849bdfdad83a471c" /><Relationship Type="http://schemas.openxmlformats.org/officeDocument/2006/relationships/worksheet" Target="/xl/worksheets/sheet2.xml" Id="Rc6699323e1ab456a" /><Relationship Type="http://schemas.openxmlformats.org/officeDocument/2006/relationships/worksheet" Target="/xl/worksheets/sheet3.xml" Id="Rc369bceacddb4b05" /><Relationship Type="http://schemas.openxmlformats.org/officeDocument/2006/relationships/worksheet" Target="/xl/worksheets/sheet4.xml" Id="Re4cac545c7d34e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9141b5689a3488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Applications by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'Dashboard'!$A$13:$A$24</c:f>
              <c:strCache>
                <c:ptCount val="0"/>
              </c:strCache>
            </c:strRef>
          </c:cat>
          <c:val>
            <c:numRef>
              <c:f>'Dashboard'!$B$13:$B$24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141b5689a3488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JobApplicationTable" displayName="JobApplicationTable" ref="A4:V38" headerRowCount="1">
  <x:tableColumns count="22">
    <x:tableColumn id="1" name="Applied?"/>
    <x:tableColumn id="2" name="Status"/>
    <x:tableColumn id="3" name="Priority"/>
    <x:tableColumn id="4" name="Search Order"/>
    <x:tableColumn id="5" name="Company Type"/>
    <x:tableColumn id="6" name="Company"/>
    <x:tableColumn id="7" name="Job Title"/>
    <x:tableColumn id="8" name="Category"/>
    <x:tableColumn id="9" name="Location"/>
    <x:tableColumn id="10" name="Employment Type"/>
    <x:tableColumn id="11" name="Pay / Compensation"/>
    <x:tableColumn id="12" name="Posting Status"/>
    <x:tableColumn id="13" name="Date Verified"/>
    <x:tableColumn id="14" name="Date Applied"/>
    <x:tableColumn id="15" name="Follow-Up Date"/>
    <x:tableColumn id="16" name="Interview Date"/>
    <x:tableColumn id="17" name="Days Since Applied"/>
    <x:tableColumn id="18" name="Next Action"/>
    <x:tableColumn id="19" name="Key Requirements / Notes"/>
    <x:tableColumn id="20" name="Resume Version"/>
    <x:tableColumn id="21" name="Confirmation / Contact"/>
    <x:tableColumn id="22" name="Official Application Link"/>
  </x:tableColumns>
  <x:tableStyleInfo name="TableStyleMedium2" showRowStripes="1"/>
</x:table>
</file>

<file path=xl/tables/table2.xml><?xml version="1.0" encoding="utf-8"?>
<x:table xmlns:x="http://schemas.openxmlformats.org/spreadsheetml/2006/main" id="2" name="AirlineWatchlistTable" displayName="AirlineWatchlistTable" ref="A4:H27" headerRowCount="1">
  <x:tableColumns count="8">
    <x:tableColumn id="1" name="Company"/>
    <x:tableColumn id="2" name="Tier"/>
    <x:tableColumn id="3" name="Current FA Status"/>
    <x:tableColumn id="4" name="Florida Relevance"/>
    <x:tableColumn id="5" name="Last Checked"/>
    <x:tableColumn id="6" name="Recommended Action"/>
    <x:tableColumn id="7" name="Official Careers Page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ApplicationChecklistTable" displayName="ApplicationChecklistTable" ref="A4:E28" headerRowCount="1">
  <x:tableColumns count="5">
    <x:tableColumn id="1" name="Task"/>
    <x:tableColumn id="2" name="Done?"/>
    <x:tableColumn id="3" name="Category"/>
    <x:tableColumn id="4" name="Notes"/>
    <x:tableColumn id="5" name="Date Complet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a8aaf9231fd4bd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fc54320e3043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e0603e504c4e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34b95d782f493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8" hidden="0" customWidth="1"/>
    <x:col min="7" max="7" width="20" hidden="0" customWidth="1"/>
    <x:col min="8" max="8" width="32" hidden="0" customWidth="1"/>
  </x:cols>
  <x:sheetData>
    <x:row r="1">
      <x:c r="A1" s="52" t="str">
        <x:v>AIRLINE APPLICATION DASHBOARD</x:v>
      </x:c>
      <x:c r="B1" s="52"/>
      <x:c r="C1" s="52"/>
      <x:c r="D1" s="52"/>
      <x:c r="E1" s="52"/>
      <x:c r="F1" s="52"/>
      <x:c r="G1" s="52"/>
      <x:c r="H1" s="52"/>
    </x:row>
    <x:row r="2">
      <x:c r="A2" s="52"/>
      <x:c r="B2" s="52"/>
      <x:c r="C2" s="52"/>
      <x:c r="D2" s="52"/>
      <x:c r="E2" s="52"/>
      <x:c r="F2" s="52"/>
      <x:c r="G2" s="52"/>
      <x:c r="H2" s="52"/>
    </x:row>
    <x:row r="3">
      <x:c r="A3" s="57" t="str">
        <x:v>Celjan Diaz • Official company career links • Last researched July 23, 2026</x:v>
      </x:c>
      <x:c r="B3" s="57"/>
      <x:c r="C3" s="57"/>
      <x:c r="D3" s="57"/>
      <x:c r="E3" s="57"/>
      <x:c r="F3" s="57"/>
      <x:c r="G3" s="57"/>
      <x:c r="H3" s="57"/>
    </x:row>
    <x:row r="5" ht="28" customHeight="1">
      <x:c r="A5" s="63" t="str">
        <x:v>Total Verified Jobs</x:v>
      </x:c>
      <x:c r="B5" s="63" t="str">
        <x:v>Not Started</x:v>
      </x:c>
      <x:c r="C5" s="63" t="str">
        <x:v>Applied</x:v>
      </x:c>
      <x:c r="D5" s="63" t="str">
        <x:v>In Review / Assessment</x:v>
      </x:c>
      <x:c r="F5" s="78" t="str">
        <x:v>BEST APPLICATION ORDER</x:v>
      </x:c>
      <x:c r="G5" s="78"/>
      <x:c r="H5" s="78"/>
    </x:row>
    <x:row r="6" ht="40" customHeight="1">
      <x:c r="A6" s="71" t="n">
        <x:f>COUNTA('Job Tracker'!F5:F38)</x:f>
        <x:v>34</x:v>
      </x:c>
      <x:c r="B6" s="71" t="n">
        <x:f>COUNTIF('Job Tracker'!B5:B38,"Not Started")</x:f>
        <x:v>34</x:v>
      </x:c>
      <x:c r="C6" s="71" t="n">
        <x:f>COUNTIF('Job Tracker'!B5:B38,"Applied")</x:f>
        <x:v>0</x:v>
      </x:c>
      <x:c r="D6" s="71" t="n">
        <x:f>COUNTIF('Job Tracker'!B5:B38,"Pending / In Review")+COUNTIF('Job Tracker'!B5:B38,"Assessment")</x:f>
        <x:v>0</x:v>
      </x:c>
      <x:c r="F6" s="89" t="str">
        <x:v>1</x:v>
      </x:c>
      <x:c r="G6" s="84" t="str">
        <x:v>Breeze Airways</x:v>
      </x:c>
      <x:c r="H6" s="84" t="str">
        <x:v>Tampa Flight Attendant</x:v>
      </x:c>
    </x:row>
    <x:row r="7">
      <x:c r="F7" s="89" t="str">
        <x:v>2</x:v>
      </x:c>
      <x:c r="G7" s="84" t="str">
        <x:v>JetBlue</x:v>
      </x:c>
      <x:c r="H7" s="84" t="str">
        <x:v>Orlando Inflight Crew Trainee</x:v>
      </x:c>
    </x:row>
    <x:row r="8" ht="28" customHeight="1">
      <x:c r="A8" s="63" t="str">
        <x:v>Interviews</x:v>
      </x:c>
      <x:c r="B8" s="63" t="str">
        <x:v>Offers</x:v>
      </x:c>
      <x:c r="C8" s="63" t="str">
        <x:v>Accepted</x:v>
      </x:c>
      <x:c r="D8" s="63" t="str">
        <x:v>Rejected / Closed</x:v>
      </x:c>
      <x:c r="F8" s="89" t="str">
        <x:v>3</x:v>
      </x:c>
      <x:c r="G8" s="84" t="str">
        <x:v>Frontier Airlines</x:v>
      </x:c>
      <x:c r="H8" s="84" t="str">
        <x:v>Flight Attendant — Florida bases</x:v>
      </x:c>
    </x:row>
    <x:row r="9" ht="40" customHeight="1">
      <x:c r="A9" s="71" t="n">
        <x:f>COUNTIF('Job Tracker'!B5:B38,"Interview Scheduled")+COUNTIF('Job Tracker'!B5:B38,"Interview Completed")</x:f>
        <x:v>0</x:v>
      </x:c>
      <x:c r="B9" s="71" t="n">
        <x:f>COUNTIF('Job Tracker'!B5:B38,"Offer Received")</x:f>
        <x:v>0</x:v>
      </x:c>
      <x:c r="C9" s="71" t="n">
        <x:f>COUNTIF('Job Tracker'!B5:B38,"Accepted")</x:f>
        <x:v>0</x:v>
      </x:c>
      <x:c r="D9" s="71" t="n">
        <x:f>COUNTIF('Job Tracker'!B5:B38,"Rejected")+COUNTIF('Job Tracker'!B5:B38,"Closed / Expired")</x:f>
        <x:v>0</x:v>
      </x:c>
      <x:c r="F9" s="89" t="str">
        <x:v>4</x:v>
      </x:c>
      <x:c r="G9" s="84" t="str">
        <x:v>Delta Air Lines</x:v>
      </x:c>
      <x:c r="H9" s="84" t="str">
        <x:v>Flight Attendant — 2027 classes</x:v>
      </x:c>
    </x:row>
    <x:row r="10">
      <x:c r="F10" s="89" t="str">
        <x:v>5</x:v>
      </x:c>
      <x:c r="G10" s="84" t="str">
        <x:v>Allegiant Air</x:v>
      </x:c>
      <x:c r="H10" s="84" t="str">
        <x:v>Clearwater Customer Service Agent</x:v>
      </x:c>
    </x:row>
    <x:row r="12">
      <x:c r="A12" s="92" t="str">
        <x:v>Status</x:v>
      </x:c>
      <x:c r="B12" s="92" t="str">
        <x:v>Count</x:v>
      </x:c>
    </x:row>
    <x:row r="13">
      <x:c r="A13" s="38" t="str">
        <x:v>Not Started</x:v>
      </x:c>
      <x:c r="B13" s="38" t="n">
        <x:f>COUNTIF('Job Tracker'!$B$5:$B$38,A13)</x:f>
        <x:v>34</x:v>
      </x:c>
    </x:row>
    <x:row r="14">
      <x:c r="A14" s="38" t="str">
        <x:v>Preparing</x:v>
      </x:c>
      <x:c r="B14" s="38" t="n">
        <x:f>COUNTIF('Job Tracker'!$B$5:$B$38,A14)</x:f>
        <x:v>0</x:v>
      </x:c>
    </x:row>
    <x:row r="15">
      <x:c r="A15" s="38" t="str">
        <x:v>Applied</x:v>
      </x:c>
      <x:c r="B15" s="38" t="n">
        <x:f>COUNTIF('Job Tracker'!$B$5:$B$38,A15)</x:f>
        <x:v>0</x:v>
      </x:c>
    </x:row>
    <x:row r="16">
      <x:c r="A16" s="38" t="str">
        <x:v>Assessment</x:v>
      </x:c>
      <x:c r="B16" s="38" t="n">
        <x:f>COUNTIF('Job Tracker'!$B$5:$B$38,A16)</x:f>
        <x:v>0</x:v>
      </x:c>
    </x:row>
    <x:row r="17">
      <x:c r="A17" s="38" t="str">
        <x:v>Pending / In Review</x:v>
      </x:c>
      <x:c r="B17" s="38" t="n">
        <x:f>COUNTIF('Job Tracker'!$B$5:$B$38,A17)</x:f>
        <x:v>0</x:v>
      </x:c>
    </x:row>
    <x:row r="18">
      <x:c r="A18" s="38" t="str">
        <x:v>Interview Scheduled</x:v>
      </x:c>
      <x:c r="B18" s="38" t="n">
        <x:f>COUNTIF('Job Tracker'!$B$5:$B$38,A18)</x:f>
        <x:v>0</x:v>
      </x:c>
    </x:row>
    <x:row r="19">
      <x:c r="A19" s="38" t="str">
        <x:v>Interview Completed</x:v>
      </x:c>
      <x:c r="B19" s="38" t="n">
        <x:f>COUNTIF('Job Tracker'!$B$5:$B$38,A19)</x:f>
        <x:v>0</x:v>
      </x:c>
    </x:row>
    <x:row r="20">
      <x:c r="A20" s="38" t="str">
        <x:v>Offer Received</x:v>
      </x:c>
      <x:c r="B20" s="38" t="n">
        <x:f>COUNTIF('Job Tracker'!$B$5:$B$38,A20)</x:f>
        <x:v>0</x:v>
      </x:c>
    </x:row>
    <x:row r="21">
      <x:c r="A21" s="38" t="str">
        <x:v>Accepted</x:v>
      </x:c>
      <x:c r="B21" s="38" t="n">
        <x:f>COUNTIF('Job Tracker'!$B$5:$B$38,A21)</x:f>
        <x:v>0</x:v>
      </x:c>
    </x:row>
    <x:row r="22">
      <x:c r="A22" s="38" t="str">
        <x:v>Rejected</x:v>
      </x:c>
      <x:c r="B22" s="38" t="n">
        <x:f>COUNTIF('Job Tracker'!$B$5:$B$38,A22)</x:f>
        <x:v>0</x:v>
      </x:c>
    </x:row>
    <x:row r="23">
      <x:c r="A23" s="38" t="str">
        <x:v>Withdrawn</x:v>
      </x:c>
      <x:c r="B23" s="38" t="n">
        <x:f>COUNTIF('Job Tracker'!$B$5:$B$38,A23)</x:f>
        <x:v>0</x:v>
      </x:c>
    </x:row>
    <x:row r="24">
      <x:c r="A24" s="38" t="str">
        <x:v>Closed / Expired</x:v>
      </x:c>
      <x:c r="B24" s="38" t="n">
        <x:f>COUNTIF('Job Tracker'!$B$5:$B$38,A24)</x:f>
        <x:v>0</x:v>
      </x:c>
    </x:row>
    <x:row r="27">
      <x:c r="A27" s="78" t="str">
        <x:v>HOW TO USE THE TRACKER</x:v>
      </x:c>
      <x:c r="B27" s="78"/>
      <x:c r="C27" s="78"/>
      <x:c r="D27" s="78"/>
      <x:c r="E27" s="78"/>
      <x:c r="F27" s="78"/>
      <x:c r="G27" s="78"/>
      <x:c r="H27" s="78"/>
    </x:row>
    <x:row r="28">
      <x:c r="A28" s="96" t="str">
        <x:v>1</x:v>
      </x:c>
      <x:c r="B28" s="84" t="str">
        <x:v>Open the Job Tracker and use the official link in the last column.</x:v>
      </x:c>
      <x:c r="C28" s="84" t="str"/>
      <x:c r="D28" s="84" t="str"/>
      <x:c r="E28" s="84" t="str"/>
      <x:c r="F28" s="84" t="str"/>
      <x:c r="G28" s="84" t="str"/>
      <x:c r="H28" s="84" t="str"/>
    </x:row>
    <x:row r="29">
      <x:c r="A29" s="96" t="str">
        <x:v>2</x:v>
      </x:c>
      <x:c r="B29" s="84" t="str">
        <x:v>Change Applied? from ☐ to ☑ immediately after submitting.</x:v>
      </x:c>
      <x:c r="C29" s="84" t="str"/>
      <x:c r="D29" s="84" t="str"/>
      <x:c r="E29" s="84" t="str"/>
      <x:c r="F29" s="84" t="str"/>
      <x:c r="G29" s="84" t="str"/>
      <x:c r="H29" s="84" t="str"/>
    </x:row>
    <x:row r="30">
      <x:c r="A30" s="96" t="str">
        <x:v>3</x:v>
      </x:c>
      <x:c r="B30" s="84" t="str">
        <x:v>Update Status as applications move through assessment, review, interview and offer stages.</x:v>
      </x:c>
      <x:c r="C30" s="84" t="str"/>
      <x:c r="D30" s="84" t="str"/>
      <x:c r="E30" s="84" t="str"/>
      <x:c r="F30" s="84" t="str"/>
      <x:c r="G30" s="84" t="str"/>
      <x:c r="H30" s="84" t="str"/>
    </x:row>
    <x:row r="31">
      <x:c r="A31" s="96" t="str">
        <x:v>4</x:v>
      </x:c>
      <x:c r="B31" s="84" t="str">
        <x:v>Enter Date Applied; the Follow-Up Date and Days Since Applied calculate automatically.</x:v>
      </x:c>
      <x:c r="C31" s="84" t="str"/>
      <x:c r="D31" s="84" t="str"/>
      <x:c r="E31" s="84" t="str"/>
      <x:c r="F31" s="84" t="str"/>
      <x:c r="G31" s="84" t="str"/>
      <x:c r="H31" s="84" t="str"/>
    </x:row>
    <x:row r="32">
      <x:c r="A32" s="96" t="str">
        <x:v>5</x:v>
      </x:c>
      <x:c r="B32" s="84" t="str">
        <x:v>Save every confirmation number, recruiter name and interview date.</x:v>
      </x:c>
      <x:c r="C32" s="84" t="str"/>
      <x:c r="D32" s="84" t="str"/>
      <x:c r="E32" s="84" t="str"/>
      <x:c r="F32" s="84" t="str"/>
      <x:c r="G32" s="84" t="str"/>
      <x:c r="H32" s="84" t="str"/>
    </x:row>
    <x:row r="33">
      <x:c r="A33" s="96" t="str">
        <x:v>6</x:v>
      </x:c>
      <x:c r="B33" s="84" t="str">
        <x:v>Recheck each posting before applying because airline jobs can close quickly.</x:v>
      </x:c>
      <x:c r="C33" s="84" t="str"/>
      <x:c r="D33" s="84" t="str"/>
      <x:c r="E33" s="84" t="str"/>
      <x:c r="F33" s="84" t="str"/>
      <x:c r="G33" s="84" t="str"/>
      <x:c r="H33" s="84" t="str"/>
    </x:row>
  </x:sheetData>
  <x:mergeCells>
    <x:mergeCell ref="A1:H2"/>
    <x:mergeCell ref="A3:H3"/>
    <x:mergeCell ref="F5:H5"/>
    <x:mergeCell ref="A27:H27"/>
    <x:mergeCell ref="B28:H28"/>
    <x:mergeCell ref="B29:H29"/>
    <x:mergeCell ref="B30:H30"/>
    <x:mergeCell ref="B31:H31"/>
    <x:mergeCell ref="B32:H32"/>
    <x:mergeCell ref="B33:H33"/>
  </x:mergeCells>
  <x:pageMargins left="0.7" right="0.7" top="0.75" bottom="0.75" header="0.3" footer="0.3"/>
  <x:drawing xmlns:r="http://schemas.openxmlformats.org/officeDocument/2006/relationships" r:id="R6a8aaf9231fd4bdd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0" hidden="0" customWidth="1"/>
    <x:col min="4" max="4" width="20" hidden="0" customWidth="1"/>
    <x:col min="5" max="5" width="20" hidden="0" customWidth="1"/>
    <x:col min="6" max="6" width="20" hidden="0" customWidth="1"/>
    <x:col min="7" max="7" width="28" hidden="0" customWidth="1"/>
    <x:col min="8" max="8" width="22" hidden="0" customWidth="1"/>
    <x:col min="9" max="9" width="28" hidden="0" customWidth="1"/>
    <x:col min="10" max="10" width="18" hidden="0" customWidth="1"/>
    <x:col min="11" max="11" width="23" hidden="0" customWidth="1"/>
    <x:col min="12" max="12" width="20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5" hidden="0" customWidth="1"/>
    <x:col min="18" max="18" width="34" hidden="0" customWidth="1"/>
    <x:col min="19" max="19" width="48" hidden="0" customWidth="1"/>
    <x:col min="20" max="20" width="30" hidden="0" customWidth="1"/>
    <x:col min="21" max="21" width="25" hidden="0" customWidth="1"/>
    <x:col min="22" max="22" width="55" hidden="0" customWidth="1"/>
  </x:cols>
  <x:sheetData>
    <x:row r="1" ht="30" customHeight="1">
      <x:c r="A1" s="5" t="str">
        <x:v>CELJAN DIAZ — AIRLINE JOB APPLICATION TRACKER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 ht="22" customHeight="1">
      <x:c r="A2" s="13" t="str">
        <x:v>Official company links only • Ordered Tampa Bay → Orlando → Other Florida → National/Relocation • Verified July 23, 2026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</x:row>
    <x:row r="3" ht="28" customHeight="1">
      <x:c r="A3" s="22" t="str">
        <x:v>Important: Breeze allows only ONE flight-attendant application every three months. Apply to Tampa first and leave the other Breeze rows as backups.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  <x:c r="T3" s="22"/>
      <x:c r="U3" s="22"/>
      <x:c r="V3" s="22"/>
    </x:row>
    <x:row r="4" ht="38" customHeight="1">
      <x:c r="A4" s="32" t="str">
        <x:v>Applied?</x:v>
      </x:c>
      <x:c r="B4" s="32" t="str">
        <x:v>Status</x:v>
      </x:c>
      <x:c r="C4" s="32" t="str">
        <x:v>Priority</x:v>
      </x:c>
      <x:c r="D4" s="32" t="str">
        <x:v>Search Order</x:v>
      </x:c>
      <x:c r="E4" s="32" t="str">
        <x:v>Company Type</x:v>
      </x:c>
      <x:c r="F4" s="32" t="str">
        <x:v>Company</x:v>
      </x:c>
      <x:c r="G4" s="32" t="str">
        <x:v>Job Title</x:v>
      </x:c>
      <x:c r="H4" s="32" t="str">
        <x:v>Category</x:v>
      </x:c>
      <x:c r="I4" s="32" t="str">
        <x:v>Location</x:v>
      </x:c>
      <x:c r="J4" s="32" t="str">
        <x:v>Employment Type</x:v>
      </x:c>
      <x:c r="K4" s="32" t="str">
        <x:v>Pay / Compensation</x:v>
      </x:c>
      <x:c r="L4" s="32" t="str">
        <x:v>Posting Status</x:v>
      </x:c>
      <x:c r="M4" s="32" t="str">
        <x:v>Date Verified</x:v>
      </x:c>
      <x:c r="N4" s="32" t="str">
        <x:v>Date Applied</x:v>
      </x:c>
      <x:c r="O4" s="32" t="str">
        <x:v>Follow-Up Date</x:v>
      </x:c>
      <x:c r="P4" s="32" t="str">
        <x:v>Interview Date</x:v>
      </x:c>
      <x:c r="Q4" s="32" t="str">
        <x:v>Days Since Applied</x:v>
      </x:c>
      <x:c r="R4" s="32" t="str">
        <x:v>Next Action</x:v>
      </x:c>
      <x:c r="S4" s="32" t="str">
        <x:v>Key Requirements / Notes</x:v>
      </x:c>
      <x:c r="T4" s="32" t="str">
        <x:v>Resume Version</x:v>
      </x:c>
      <x:c r="U4" s="32" t="str">
        <x:v>Confirmation / Contact</x:v>
      </x:c>
      <x:c r="V4" s="32" t="str">
        <x:v>Official Application Link</x:v>
      </x:c>
    </x:row>
    <x:row r="5" ht="58" customHeight="1">
      <x:c r="A5" s="40" t="str">
        <x:v>☐</x:v>
      </x:c>
      <x:c r="B5" s="40" t="str">
        <x:v>Not Started</x:v>
      </x:c>
      <x:c r="C5" s="40" t="str">
        <x:v>High</x:v>
      </x:c>
      <x:c r="D5" s="40" t="str">
        <x:v>1 - Tampa Bay</x:v>
      </x:c>
      <x:c r="E5" s="40" t="str">
        <x:v>Low-Cost Airline</x:v>
      </x:c>
      <x:c r="F5" s="40" t="str">
        <x:v>Breeze Airways</x:v>
      </x:c>
      <x:c r="G5" s="40" t="str">
        <x:v>Flight Attendant - Part Time</x:v>
      </x:c>
      <x:c r="H5" s="40" t="str">
        <x:v>Flight Attendant</x:v>
      </x:c>
      <x:c r="I5" s="40" t="str">
        <x:v>Tampa, FL</x:v>
      </x:c>
      <x:c r="J5" s="40" t="str">
        <x:v>Part-time</x:v>
      </x:c>
      <x:c r="K5" s="40" t="str">
        <x:v>$25.00-$37.50 / flight hour</x:v>
      </x:c>
      <x:c r="L5" s="40" t="str">
        <x:v>Open - verified</x:v>
      </x:c>
      <x:c r="M5" s="44" t="n">
        <x:v>46226</x:v>
      </x:c>
      <x:c r="N5" s="44"/>
      <x:c r="O5" s="44" t="str">
        <x:f>IF(OR(N5="",B5="Accepted",B5="Rejected",B5="Withdrawn",B5="Closed / Expired"),"",N5+7)</x:f>
      </x:c>
      <x:c r="P5" s="44"/>
      <x:c r="Q5" s="46" t="str">
        <x:f>IF(N5="","",TODAY()-N5)</x:f>
      </x:c>
      <x:c r="R5" s="40" t="str">
        <x:f>IF(B5="Not Started","Review requirements and apply",IF(B5="Preparing","Finish application materials",IF(B5="Applied","Check email and candidate portal",IF(B5="Assessment","Complete assessment before deadline",IF(B5="Pending / In Review","Monitor portal and follow up",IF(B5="Interview Scheduled","Prepare STAR stories and interview setup",IF(B5="Interview Completed","Send thank-you and monitor status",IF(B5="Offer Received","Review offer, base and deadline",IF(B5="Accepted","Complete onboarding steps",IF(B5="Rejected","Record reapply date and continue","Update tracker"))))))))))</x:f>
        <x:v>Review requirements and apply</x:v>
      </x:c>
      <x:c r="S5" s="40" t="str">
        <x:v>Age 21+; HS diploma/GED; passport with 6+ months validity; live within 2 hours of TPA. Only one Breeze FA application every 3 months—choose Tampa first.</x:v>
      </x:c>
      <x:c r="T5" s="40" t="str">
        <x:v>Flight Attendant Resume - Highlighted</x:v>
      </x:c>
      <x:c r="U5" s="40" t="str"/>
      <x:c r="V5" s="48" t="str">
        <x:v>https://job-boards.greenhouse.io/breezeairways/jobs/7761949003</x:v>
      </x:c>
    </x:row>
    <x:row r="6" ht="58" customHeight="1">
      <x:c r="A6" s="40" t="str">
        <x:v>☐</x:v>
      </x:c>
      <x:c r="B6" s="40" t="str">
        <x:v>Not Started</x:v>
      </x:c>
      <x:c r="C6" s="40" t="str">
        <x:v>High</x:v>
      </x:c>
      <x:c r="D6" s="40" t="str">
        <x:v>1 - Tampa Bay</x:v>
      </x:c>
      <x:c r="E6" s="40" t="str">
        <x:v>Major/Low-Cost Airline</x:v>
      </x:c>
      <x:c r="F6" s="40" t="str">
        <x:v>Allegiant Air</x:v>
      </x:c>
      <x:c r="G6" s="40" t="str">
        <x:v>Customer Service Agent</x:v>
      </x:c>
      <x:c r="H6" s="40" t="str">
        <x:v>Airline Customer Service</x:v>
      </x:c>
      <x:c r="I6" s="40" t="str">
        <x:v>Clearwater, FL</x:v>
      </x:c>
      <x:c r="J6" s="40" t="str">
        <x:v>Part-time</x:v>
      </x:c>
      <x:c r="K6" s="40" t="str">
        <x:v>$15.00 / hour</x:v>
      </x:c>
      <x:c r="L6" s="40" t="str">
        <x:v>Open - verified</x:v>
      </x:c>
      <x:c r="M6" s="44" t="n">
        <x:v>46226</x:v>
      </x:c>
      <x:c r="N6" s="44"/>
      <x:c r="O6" s="44" t="str">
        <x:f>IF(OR(N6="",B6="Accepted",B6="Rejected",B6="Withdrawn",B6="Closed / Expired"),"",N6+7)</x:f>
      </x:c>
      <x:c r="P6" s="44"/>
      <x:c r="Q6" s="46" t="str">
        <x:f>IF(N6="","",TODAY()-N6)</x:f>
      </x:c>
      <x:c r="R6" s="40" t="str">
        <x:f>IF(B6="Not Started","Review requirements and apply",IF(B6="Preparing","Finish application materials",IF(B6="Applied","Check email and candidate portal",IF(B6="Assessment","Complete assessment before deadline",IF(B6="Pending / In Review","Monitor portal and follow up",IF(B6="Interview Scheduled","Prepare STAR stories and interview setup",IF(B6="Interview Completed","Send thank-you and monitor status",IF(B6="Offer Received","Review offer, base and deadline",IF(B6="Accepted","Complete onboarding steps",IF(B6="Rejected","Record reapply date and continue","Update tracker"))))))))))</x:f>
        <x:v>Review requirements and apply</x:v>
      </x:c>
      <x:c r="S6" s="40" t="str">
        <x:v>HS diploma/GED; 1+ year customer service; valid driver's license; flexible nights, weekends and holidays. Strong local pathway into aviation.</x:v>
      </x:c>
      <x:c r="T6" s="40" t="str">
        <x:v>Flight Attendant Resume - Highlighted</x:v>
      </x:c>
      <x:c r="U6" s="40" t="str"/>
      <x:c r="V6" s="48" t="str">
        <x:v>https://jobs.lever.co/allegiantair/e5b5ff00-e5e5-46dc-8ae7-db35e54deccc</x:v>
      </x:c>
    </x:row>
    <x:row r="7" ht="58" customHeight="1">
      <x:c r="A7" s="40" t="str">
        <x:v>☐</x:v>
      </x:c>
      <x:c r="B7" s="40" t="str">
        <x:v>Not Started</x:v>
      </x:c>
      <x:c r="C7" s="40" t="str">
        <x:v>High</x:v>
      </x:c>
      <x:c r="D7" s="40" t="str">
        <x:v>2 - Orlando</x:v>
      </x:c>
      <x:c r="E7" s="40" t="str">
        <x:v>Major Airline</x:v>
      </x:c>
      <x:c r="F7" s="40" t="str">
        <x:v>JetBlue</x:v>
      </x:c>
      <x:c r="G7" s="40" t="str">
        <x:v>Inflight Crew Trainee</x:v>
      </x:c>
      <x:c r="H7" s="40" t="str">
        <x:v>Flight Attendant</x:v>
      </x:c>
      <x:c r="I7" s="40" t="str">
        <x:v>Orlando, FL</x:v>
      </x:c>
      <x:c r="J7" s="40" t="str">
        <x:v>Full-time / trainee</x:v>
      </x:c>
      <x:c r="K7" s="40" t="str">
        <x:v>$26.03-$69.90 / flight hour</x:v>
      </x:c>
      <x:c r="L7" s="40" t="str">
        <x:v>Open - verified</x:v>
      </x:c>
      <x:c r="M7" s="44" t="n">
        <x:v>46226</x:v>
      </x:c>
      <x:c r="N7" s="44"/>
      <x:c r="O7" s="44" t="str">
        <x:f>IF(OR(N7="",B7="Accepted",B7="Rejected",B7="Withdrawn",B7="Closed / Expired"),"",N7+7)</x:f>
      </x:c>
      <x:c r="P7" s="44"/>
      <x:c r="Q7" s="46" t="str">
        <x:f>IF(N7="","",TODAY()-N7)</x:f>
      </x:c>
      <x:c r="R7" s="40" t="str">
        <x:f>IF(B7="Not Started","Review requirements and apply",IF(B7="Preparing","Finish application materials",IF(B7="Applied","Check email and candidate portal",IF(B7="Assessment","Complete assessment before deadline",IF(B7="Pending / In Review","Monitor portal and follow up",IF(B7="Interview Scheduled","Prepare STAR stories and interview setup",IF(B7="Interview Completed","Send thank-you and monitor status",IF(B7="Offer Received","Review offer, base and deadline",IF(B7="Accepted","Complete onboarding steps",IF(B7="Rejected","Record reapply date and continue","Update tracker"))))))))))</x:f>
        <x:v>Review requirements and apply</x:v>
      </x:c>
      <x:c r="S7" s="40" t="str">
        <x:v>Age 21+; HS diploma/GED; 2 years face-to-face customer service; passport with 12+ months validity; safety, teamwork and flexible scheduling.</x:v>
      </x:c>
      <x:c r="T7" s="40" t="str">
        <x:v>Flight Attendant Resume - Highlighted</x:v>
      </x:c>
      <x:c r="U7" s="40" t="str"/>
      <x:c r="V7" s="48" t="str">
        <x:v>https://careers.jetblue.com/job/Orlando-Inflight-Crew-Trainee-FL-32827/1409071000/</x:v>
      </x:c>
    </x:row>
    <x:row r="8" ht="58" customHeight="1">
      <x:c r="A8" s="40" t="str">
        <x:v>☐</x:v>
      </x:c>
      <x:c r="B8" s="40" t="str">
        <x:v>Not Started</x:v>
      </x:c>
      <x:c r="C8" s="40" t="str">
        <x:v>High</x:v>
      </x:c>
      <x:c r="D8" s="40" t="str">
        <x:v>2 - Orlando</x:v>
      </x:c>
      <x:c r="E8" s="40" t="str">
        <x:v>Major/Low-Cost Airline</x:v>
      </x:c>
      <x:c r="F8" s="40" t="str">
        <x:v>Frontier Airlines</x:v>
      </x:c>
      <x:c r="G8" s="40" t="str">
        <x:v>Flight Attendant</x:v>
      </x:c>
      <x:c r="H8" s="40" t="str">
        <x:v>Flight Attendant</x:v>
      </x:c>
      <x:c r="I8" s="40" t="str">
        <x:v>Multiple bases including Orlando, Tampa and Miami</x:v>
      </x:c>
      <x:c r="J8" s="40" t="str">
        <x:v>Full-time</x:v>
      </x:c>
      <x:c r="K8" s="40" t="str">
        <x:v>See official posting</x:v>
      </x:c>
      <x:c r="L8" s="40" t="str">
        <x:v>Open - verified</x:v>
      </x:c>
      <x:c r="M8" s="44" t="n">
        <x:v>46226</x:v>
      </x:c>
      <x:c r="N8" s="44"/>
      <x:c r="O8" s="44" t="str">
        <x:f>IF(OR(N8="",B8="Accepted",B8="Rejected",B8="Withdrawn",B8="Closed / Expired"),"",N8+7)</x:f>
      </x:c>
      <x:c r="P8" s="44"/>
      <x:c r="Q8" s="46" t="str">
        <x:f>IF(N8="","",TODAY()-N8)</x:f>
      </x:c>
      <x:c r="R8" s="40" t="str">
        <x:f>IF(B8="Not Started","Review requirements and apply",IF(B8="Preparing","Finish application materials",IF(B8="Applied","Check email and candidate portal",IF(B8="Assessment","Complete assessment before deadline",IF(B8="Pending / In Review","Monitor portal and follow up",IF(B8="Interview Scheduled","Prepare STAR stories and interview setup",IF(B8="Interview Completed","Send thank-you and monitor status",IF(B8="Offer Received","Review offer, base and deadline",IF(B8="Accepted","Complete onboarding steps",IF(B8="Rejected","Record reapply date and continue","Update tracker"))))))))))</x:f>
        <x:v>Review requirements and apply</x:v>
      </x:c>
      <x:c r="S8" s="40" t="str">
        <x:v>Age 20+; HS diploma/GED; passport with 14+ months validity; willing to relocate. Florida bases listed include MCO, TPA and MIA.</x:v>
      </x:c>
      <x:c r="T8" s="40" t="str">
        <x:v>Flight Attendant Resume - Highlighted</x:v>
      </x:c>
      <x:c r="U8" s="40" t="str"/>
      <x:c r="V8" s="48" t="str">
        <x:v>https://recruiting2.ultipro.com/FRO1003FTAIR/JobBoard/1efcf859-1b48-4a31-b014-ef62bdcab988/OpportunityDetail?opportunityId=a0b7a22c-5ca9-4802-89a2-0edc6714c012</x:v>
      </x:c>
    </x:row>
    <x:row r="9" ht="58" customHeight="1">
      <x:c r="A9" s="40" t="str">
        <x:v>☐</x:v>
      </x:c>
      <x:c r="B9" s="40" t="str">
        <x:v>Not Started</x:v>
      </x:c>
      <x:c r="C9" s="40" t="str">
        <x:v>High</x:v>
      </x:c>
      <x:c r="D9" s="40" t="str">
        <x:v>2 - Orlando</x:v>
      </x:c>
      <x:c r="E9" s="40" t="str">
        <x:v>Low-Cost Airline</x:v>
      </x:c>
      <x:c r="F9" s="40" t="str">
        <x:v>Breeze Airways</x:v>
      </x:c>
      <x:c r="G9" s="40" t="str">
        <x:v>Flight Attendant - Part Time</x:v>
      </x:c>
      <x:c r="H9" s="40" t="str">
        <x:v>Flight Attendant</x:v>
      </x:c>
      <x:c r="I9" s="40" t="str">
        <x:v>Orlando, FL</x:v>
      </x:c>
      <x:c r="J9" s="40" t="str">
        <x:v>Part-time</x:v>
      </x:c>
      <x:c r="K9" s="40" t="str">
        <x:v>$25.00-$37.50 / flight hour</x:v>
      </x:c>
      <x:c r="L9" s="40" t="str">
        <x:v>Open - verified</x:v>
      </x:c>
      <x:c r="M9" s="44" t="n">
        <x:v>46226</x:v>
      </x:c>
      <x:c r="N9" s="44"/>
      <x:c r="O9" s="44" t="str">
        <x:f>IF(OR(N9="",B9="Accepted",B9="Rejected",B9="Withdrawn",B9="Closed / Expired"),"",N9+7)</x:f>
      </x:c>
      <x:c r="P9" s="44"/>
      <x:c r="Q9" s="46" t="str">
        <x:f>IF(N9="","",TODAY()-N9)</x:f>
      </x:c>
      <x:c r="R9" s="40" t="str">
        <x:f>IF(B9="Not Started","Review requirements and apply",IF(B9="Preparing","Finish application materials",IF(B9="Applied","Check email and candidate portal",IF(B9="Assessment","Complete assessment before deadline",IF(B9="Pending / In Review","Monitor portal and follow up",IF(B9="Interview Scheduled","Prepare STAR stories and interview setup",IF(B9="Interview Completed","Send thank-you and monitor status",IF(B9="Offer Received","Review offer, base and deadline",IF(B9="Accepted","Complete onboarding steps",IF(B9="Rejected","Record reapply date and continue","Update tracker"))))))))))</x:f>
        <x:v>Review requirements and apply</x:v>
      </x:c>
      <x:c r="S9" s="40" t="str">
        <x:v>Age 21+; HS diploma/GED; passport with 6+ months validity; live within 2 hours of MCO. Only one Breeze FA application every 3 months.</x:v>
      </x:c>
      <x:c r="T9" s="40" t="str">
        <x:v>Flight Attendant Resume - Highlighted</x:v>
      </x:c>
      <x:c r="U9" s="40" t="str"/>
      <x:c r="V9" s="48" t="str">
        <x:v>https://job-boards.greenhouse.io/breezeairways/jobs/7785954003</x:v>
      </x:c>
    </x:row>
    <x:row r="10" ht="58" customHeight="1">
      <x:c r="A10" s="40" t="str">
        <x:v>☐</x:v>
      </x:c>
      <x:c r="B10" s="40" t="str">
        <x:v>Not Started</x:v>
      </x:c>
      <x:c r="C10" s="40" t="str">
        <x:v>Medium</x:v>
      </x:c>
      <x:c r="D10" s="40" t="str">
        <x:v>2 - Orlando</x:v>
      </x:c>
      <x:c r="E10" s="40" t="str">
        <x:v>Aviation Services</x:v>
      </x:c>
      <x:c r="F10" s="40" t="str">
        <x:v>Swissport</x:v>
      </x:c>
      <x:c r="G10" s="40" t="str">
        <x:v>Ramp Agent</x:v>
      </x:c>
      <x:c r="H10" s="40" t="str">
        <x:v>Airport Operations</x:v>
      </x:c>
      <x:c r="I10" s="40" t="str">
        <x:v>Orlando, FL</x:v>
      </x:c>
      <x:c r="J10" s="40" t="str">
        <x:v>Permanent part-time</x:v>
      </x:c>
      <x:c r="K10" s="40" t="str">
        <x:v>$16.50 / hour</x:v>
      </x:c>
      <x:c r="L10" s="40" t="str">
        <x:v>Open - verified</x:v>
      </x:c>
      <x:c r="M10" s="44" t="n">
        <x:v>46226</x:v>
      </x:c>
      <x:c r="N10" s="44"/>
      <x:c r="O10" s="44" t="str">
        <x:f>IF(OR(N10="",B10="Accepted",B10="Rejected",B10="Withdrawn",B10="Closed / Expired"),"",N10+7)</x:f>
      </x:c>
      <x:c r="P10" s="44"/>
      <x:c r="Q10" s="46" t="str">
        <x:f>IF(N10="","",TODAY()-N10)</x:f>
      </x:c>
      <x:c r="R10" s="40" t="str">
        <x:f>IF(B10="Not Started","Review requirements and apply",IF(B10="Preparing","Finish application materials",IF(B10="Applied","Check email and candidate portal",IF(B10="Assessment","Complete assessment before deadline",IF(B10="Pending / In Review","Monitor portal and follow up",IF(B10="Interview Scheduled","Prepare STAR stories and interview setup",IF(B10="Interview Completed","Send thank-you and monitor status",IF(B10="Offer Received","Review offer, base and deadline",IF(B10="Accepted","Complete onboarding steps",IF(B10="Rejected","Record reapply date and continue","Update tracker"))))))))))</x:f>
        <x:v>Review requirements and apply</x:v>
      </x:c>
      <x:c r="S10" s="40" t="str">
        <x:v>Valid driver's license; safety awareness; lift up to 70 lb; flexible shifts. Mechanic experience transfers well to equipment and ramp operations.</x:v>
      </x:c>
      <x:c r="T10" s="40" t="str">
        <x:v>Flight Attendant Resume - Highlighted</x:v>
      </x:c>
      <x:c r="U10" s="40" t="str"/>
      <x:c r="V10" s="48" t="str">
        <x:v>https://careers.swissport.com/jobs/7938?lang=en-us</x:v>
      </x:c>
    </x:row>
    <x:row r="11" ht="58" customHeight="1">
      <x:c r="A11" s="40" t="str">
        <x:v>☐</x:v>
      </x:c>
      <x:c r="B11" s="40" t="str">
        <x:v>Not Started</x:v>
      </x:c>
      <x:c r="C11" s="40" t="str">
        <x:v>Medium</x:v>
      </x:c>
      <x:c r="D11" s="40" t="str">
        <x:v>3 - Other Florida</x:v>
      </x:c>
      <x:c r="E11" s="40" t="str">
        <x:v>Low-Cost Airline</x:v>
      </x:c>
      <x:c r="F11" s="40" t="str">
        <x:v>Breeze Airways</x:v>
      </x:c>
      <x:c r="G11" s="40" t="str">
        <x:v>Flight Attendant - Part Time</x:v>
      </x:c>
      <x:c r="H11" s="40" t="str">
        <x:v>Flight Attendant</x:v>
      </x:c>
      <x:c r="I11" s="40" t="str">
        <x:v>Fort Myers, FL</x:v>
      </x:c>
      <x:c r="J11" s="40" t="str">
        <x:v>Part-time</x:v>
      </x:c>
      <x:c r="K11" s="40" t="str">
        <x:v>$25.00-$37.50 / flight hour</x:v>
      </x:c>
      <x:c r="L11" s="40" t="str">
        <x:v>Open - verified</x:v>
      </x:c>
      <x:c r="M11" s="44" t="n">
        <x:v>46226</x:v>
      </x:c>
      <x:c r="N11" s="44"/>
      <x:c r="O11" s="44" t="str">
        <x:f>IF(OR(N11="",B11="Accepted",B11="Rejected",B11="Withdrawn",B11="Closed / Expired"),"",N11+7)</x:f>
      </x:c>
      <x:c r="P11" s="44"/>
      <x:c r="Q11" s="46" t="str">
        <x:f>IF(N11="","",TODAY()-N11)</x:f>
      </x:c>
      <x:c r="R11" s="40" t="str">
        <x:f>IF(B11="Not Started","Review requirements and apply",IF(B11="Preparing","Finish application materials",IF(B11="Applied","Check email and candidate portal",IF(B11="Assessment","Complete assessment before deadline",IF(B11="Pending / In Review","Monitor portal and follow up",IF(B11="Interview Scheduled","Prepare STAR stories and interview setup",IF(B11="Interview Completed","Send thank-you and monitor status",IF(B11="Offer Received","Review offer, base and deadline",IF(B11="Accepted","Complete onboarding steps",IF(B11="Rejected","Record reapply date and continue","Update tracker"))))))))))</x:f>
        <x:v>Review requirements and apply</x:v>
      </x:c>
      <x:c r="S11" s="40" t="str">
        <x:v>Must live within 2 hours of RSW. Only one Breeze FA application every 3 months; do not submit if applying to Tampa.</x:v>
      </x:c>
      <x:c r="T11" s="40" t="str">
        <x:v>Flight Attendant Resume - Highlighted</x:v>
      </x:c>
      <x:c r="U11" s="40" t="str"/>
      <x:c r="V11" s="48" t="str">
        <x:v>https://job-boards.greenhouse.io/breezeairways/jobs/7761946003</x:v>
      </x:c>
    </x:row>
    <x:row r="12" ht="58" customHeight="1">
      <x:c r="A12" s="40" t="str">
        <x:v>☐</x:v>
      </x:c>
      <x:c r="B12" s="40" t="str">
        <x:v>Not Started</x:v>
      </x:c>
      <x:c r="C12" s="40" t="str">
        <x:v>Medium</x:v>
      </x:c>
      <x:c r="D12" s="40" t="str">
        <x:v>3 - Other Florida</x:v>
      </x:c>
      <x:c r="E12" s="40" t="str">
        <x:v>Low-Cost Airline</x:v>
      </x:c>
      <x:c r="F12" s="40" t="str">
        <x:v>Breeze Airways</x:v>
      </x:c>
      <x:c r="G12" s="40" t="str">
        <x:v>Flight Attendant - Part Time</x:v>
      </x:c>
      <x:c r="H12" s="40" t="str">
        <x:v>Flight Attendant</x:v>
      </x:c>
      <x:c r="I12" s="40" t="str">
        <x:v>Vero Beach, FL</x:v>
      </x:c>
      <x:c r="J12" s="40" t="str">
        <x:v>Part-time</x:v>
      </x:c>
      <x:c r="K12" s="40" t="str">
        <x:v>$25.00-$37.50 / flight hour</x:v>
      </x:c>
      <x:c r="L12" s="40" t="str">
        <x:v>Open - verified</x:v>
      </x:c>
      <x:c r="M12" s="44" t="n">
        <x:v>46226</x:v>
      </x:c>
      <x:c r="N12" s="44"/>
      <x:c r="O12" s="44" t="str">
        <x:f>IF(OR(N12="",B12="Accepted",B12="Rejected",B12="Withdrawn",B12="Closed / Expired"),"",N12+7)</x:f>
      </x:c>
      <x:c r="P12" s="44"/>
      <x:c r="Q12" s="46" t="str">
        <x:f>IF(N12="","",TODAY()-N12)</x:f>
      </x:c>
      <x:c r="R12" s="40" t="str">
        <x:f>IF(B12="Not Started","Review requirements and apply",IF(B12="Preparing","Finish application materials",IF(B12="Applied","Check email and candidate portal",IF(B12="Assessment","Complete assessment before deadline",IF(B12="Pending / In Review","Monitor portal and follow up",IF(B12="Interview Scheduled","Prepare STAR stories and interview setup",IF(B12="Interview Completed","Send thank-you and monitor status",IF(B12="Offer Received","Review offer, base and deadline",IF(B12="Accepted","Complete onboarding steps",IF(B12="Rejected","Record reapply date and continue","Update tracker"))))))))))</x:f>
        <x:v>Review requirements and apply</x:v>
      </x:c>
      <x:c r="S12" s="40" t="str">
        <x:v>Must live within 2 hours of VRB. Only one Breeze FA application every 3 months; do not submit if applying to Tampa.</x:v>
      </x:c>
      <x:c r="T12" s="40" t="str">
        <x:v>Flight Attendant Resume - Highlighted</x:v>
      </x:c>
      <x:c r="U12" s="40" t="str"/>
      <x:c r="V12" s="48" t="str">
        <x:v>https://job-boards.greenhouse.io/breezeairways/jobs/7761953003</x:v>
      </x:c>
    </x:row>
    <x:row r="13" ht="58" customHeight="1">
      <x:c r="A13" s="40" t="str">
        <x:v>☐</x:v>
      </x:c>
      <x:c r="B13" s="40" t="str">
        <x:v>Not Started</x:v>
      </x:c>
      <x:c r="C13" s="40" t="str">
        <x:v>Medium</x:v>
      </x:c>
      <x:c r="D13" s="40" t="str">
        <x:v>3 - Other Florida</x:v>
      </x:c>
      <x:c r="E13" s="40" t="str">
        <x:v>Low-Cost Airline</x:v>
      </x:c>
      <x:c r="F13" s="40" t="str">
        <x:v>Breeze Airways</x:v>
      </x:c>
      <x:c r="G13" s="40" t="str">
        <x:v>Flight Attendant - Part Time</x:v>
      </x:c>
      <x:c r="H13" s="40" t="str">
        <x:v>Flight Attendant</x:v>
      </x:c>
      <x:c r="I13" s="40" t="str">
        <x:v>Fort Lauderdale, FL</x:v>
      </x:c>
      <x:c r="J13" s="40" t="str">
        <x:v>Part-time</x:v>
      </x:c>
      <x:c r="K13" s="40" t="str">
        <x:v>$25.00-$37.50 / flight hour</x:v>
      </x:c>
      <x:c r="L13" s="40" t="str">
        <x:v>Open - verified</x:v>
      </x:c>
      <x:c r="M13" s="44" t="n">
        <x:v>46226</x:v>
      </x:c>
      <x:c r="N13" s="44"/>
      <x:c r="O13" s="44" t="str">
        <x:f>IF(OR(N13="",B13="Accepted",B13="Rejected",B13="Withdrawn",B13="Closed / Expired"),"",N13+7)</x:f>
      </x:c>
      <x:c r="P13" s="44"/>
      <x:c r="Q13" s="46" t="str">
        <x:f>IF(N13="","",TODAY()-N13)</x:f>
      </x:c>
      <x:c r="R13" s="40" t="str">
        <x:f>IF(B13="Not Started","Review requirements and apply",IF(B13="Preparing","Finish application materials",IF(B13="Applied","Check email and candidate portal",IF(B13="Assessment","Complete assessment before deadline",IF(B13="Pending / In Review","Monitor portal and follow up",IF(B13="Interview Scheduled","Prepare STAR stories and interview setup",IF(B13="Interview Completed","Send thank-you and monitor status",IF(B13="Offer Received","Review offer, base and deadline",IF(B13="Accepted","Complete onboarding steps",IF(B13="Rejected","Record reapply date and continue","Update tracker"))))))))))</x:f>
        <x:v>Review requirements and apply</x:v>
      </x:c>
      <x:c r="S13" s="40" t="str">
        <x:v>Must live within 2 hours of FLL. Only one Breeze FA application every 3 months; do not submit if applying to Tampa.</x:v>
      </x:c>
      <x:c r="T13" s="40" t="str">
        <x:v>Flight Attendant Resume - Highlighted</x:v>
      </x:c>
      <x:c r="U13" s="40" t="str"/>
      <x:c r="V13" s="48" t="str">
        <x:v>https://job-boards.greenhouse.io/breezeairways/jobs/7761959003</x:v>
      </x:c>
    </x:row>
    <x:row r="14" ht="58" customHeight="1">
      <x:c r="A14" s="40" t="str">
        <x:v>☐</x:v>
      </x:c>
      <x:c r="B14" s="40" t="str">
        <x:v>Not Started</x:v>
      </x:c>
      <x:c r="C14" s="40" t="str">
        <x:v>Medium</x:v>
      </x:c>
      <x:c r="D14" s="40" t="str">
        <x:v>3 - Other Florida</x:v>
      </x:c>
      <x:c r="E14" s="40" t="str">
        <x:v>Regional/Charter Airline</x:v>
      </x:c>
      <x:c r="F14" s="40" t="str">
        <x:v>Contour Airlines</x:v>
      </x:c>
      <x:c r="G14" s="40" t="str">
        <x:v>Flight Attendant - Charter Service</x:v>
      </x:c>
      <x:c r="H14" s="40" t="str">
        <x:v>Flight Attendant</x:v>
      </x:c>
      <x:c r="I14" s="40" t="str">
        <x:v>Fort Lauderdale, FL</x:v>
      </x:c>
      <x:c r="J14" s="40" t="str">
        <x:v>Full-time</x:v>
      </x:c>
      <x:c r="K14" s="40" t="str">
        <x:v>$42,000-$52,452 / year</x:v>
      </x:c>
      <x:c r="L14" s="40" t="str">
        <x:v>Open - verified</x:v>
      </x:c>
      <x:c r="M14" s="44" t="n">
        <x:v>46226</x:v>
      </x:c>
      <x:c r="N14" s="44"/>
      <x:c r="O14" s="44" t="str">
        <x:f>IF(OR(N14="",B14="Accepted",B14="Rejected",B14="Withdrawn",B14="Closed / Expired"),"",N14+7)</x:f>
      </x:c>
      <x:c r="P14" s="44"/>
      <x:c r="Q14" s="46" t="str">
        <x:f>IF(N14="","",TODAY()-N14)</x:f>
      </x:c>
      <x:c r="R14" s="40" t="str">
        <x:f>IF(B14="Not Started","Review requirements and apply",IF(B14="Preparing","Finish application materials",IF(B14="Applied","Check email and candidate portal",IF(B14="Assessment","Complete assessment before deadline",IF(B14="Pending / In Review","Monitor portal and follow up",IF(B14="Interview Scheduled","Prepare STAR stories and interview setup",IF(B14="Interview Completed","Send thank-you and monitor status",IF(B14="Offer Received","Review offer, base and deadline",IF(B14="Accepted","Complete onboarding steps",IF(B14="Rejected","Record reapply date and continue","Update tracker"))))))))))</x:f>
        <x:v>Review requirements and apply</x:v>
      </x:c>
      <x:c r="S14" s="40" t="str">
        <x:v>Charter cabin role emphasizing passenger safety, security, comfort and high-level customer service. High school education listed.</x:v>
      </x:c>
      <x:c r="T14" s="40" t="str">
        <x:v>Flight Attendant Resume - Highlighted</x:v>
      </x:c>
      <x:c r="U14" s="40" t="str"/>
      <x:c r="V14" s="48" t="str">
        <x:v>https://www.paycomonline.net/v4/ats/web.php/portal/4E8FCB0F31AC88147F0DB7B85238B354/jobs/388772</x:v>
      </x:c>
    </x:row>
    <x:row r="15" ht="58" customHeight="1">
      <x:c r="A15" s="40" t="str">
        <x:v>☐</x:v>
      </x:c>
      <x:c r="B15" s="40" t="str">
        <x:v>Not Started</x:v>
      </x:c>
      <x:c r="C15" s="40" t="str">
        <x:v>Medium</x:v>
      </x:c>
      <x:c r="D15" s="40" t="str">
        <x:v>3 - Other Florida</x:v>
      </x:c>
      <x:c r="E15" s="40" t="str">
        <x:v>Regional Airline (American)</x:v>
      </x:c>
      <x:c r="F15" s="40" t="str">
        <x:v>Envoy Air</x:v>
      </x:c>
      <x:c r="G15" s="40" t="str">
        <x:v>Flight Attendant</x:v>
      </x:c>
      <x:c r="H15" s="40" t="str">
        <x:v>Flight Attendant</x:v>
      </x:c>
      <x:c r="I15" s="40" t="str">
        <x:v>Bases include Miami, FL</x:v>
      </x:c>
      <x:c r="J15" s="40" t="str">
        <x:v>Full-time</x:v>
      </x:c>
      <x:c r="K15" s="40" t="str">
        <x:v>$29.73 / flight hour + possible bonus</x:v>
      </x:c>
      <x:c r="L15" s="40" t="str">
        <x:v>Recruiting - official page</x:v>
      </x:c>
      <x:c r="M15" s="44" t="n">
        <x:v>46226</x:v>
      </x:c>
      <x:c r="N15" s="44"/>
      <x:c r="O15" s="44" t="str">
        <x:f>IF(OR(N15="",B15="Accepted",B15="Rejected",B15="Withdrawn",B15="Closed / Expired"),"",N15+7)</x:f>
      </x:c>
      <x:c r="P15" s="44"/>
      <x:c r="Q15" s="46" t="str">
        <x:f>IF(N15="","",TODAY()-N15)</x:f>
      </x:c>
      <x:c r="R15" s="40" t="str">
        <x:f>IF(B15="Not Started","Review requirements and apply",IF(B15="Preparing","Finish application materials",IF(B15="Applied","Check email and candidate portal",IF(B15="Assessment","Complete assessment before deadline",IF(B15="Pending / In Review","Monitor portal and follow up",IF(B15="Interview Scheduled","Prepare STAR stories and interview setup",IF(B15="Interview Completed","Send thank-you and monitor status",IF(B15="Offer Received","Review offer, base and deadline",IF(B15="Accepted","Complete onboarding steps",IF(B15="Rejected","Record reapply date and continue","Update tracker"))))))))))</x:f>
        <x:v>Review requirements and apply</x:v>
      </x:c>
      <x:c r="S15" s="40" t="str">
        <x:v>Miami is a listed domicile; must accept base assignment/relocation. Official page advertises Apply Now and current enhanced entry pay.</x:v>
      </x:c>
      <x:c r="T15" s="40" t="str">
        <x:v>Flight Attendant Resume - Highlighted</x:v>
      </x:c>
      <x:c r="U15" s="40" t="str"/>
      <x:c r="V15" s="48" t="str">
        <x:v>https://www.envoyair.com/careers/flight-attendants/</x:v>
      </x:c>
    </x:row>
    <x:row r="16" ht="58" customHeight="1">
      <x:c r="A16" s="40" t="str">
        <x:v>☐</x:v>
      </x:c>
      <x:c r="B16" s="40" t="str">
        <x:v>Not Started</x:v>
      </x:c>
      <x:c r="C16" s="40" t="str">
        <x:v>High</x:v>
      </x:c>
      <x:c r="D16" s="40" t="str">
        <x:v>4 - National / Relocation</x:v>
      </x:c>
      <x:c r="E16" s="40" t="str">
        <x:v>Major Airline</x:v>
      </x:c>
      <x:c r="F16" s="40" t="str">
        <x:v>Delta Air Lines</x:v>
      </x:c>
      <x:c r="G16" s="40" t="str">
        <x:v>Flight Attendant - 2027 Classes</x:v>
      </x:c>
      <x:c r="H16" s="40" t="str">
        <x:v>Flight Attendant</x:v>
      </x:c>
      <x:c r="I16" s="40" t="str">
        <x:v>Base assigned after training</x:v>
      </x:c>
      <x:c r="J16" s="40" t="str">
        <x:v>Full-time</x:v>
      </x:c>
      <x:c r="K16" s="40" t="str">
        <x:v>See official posting</x:v>
      </x:c>
      <x:c r="L16" s="40" t="str">
        <x:v>Open - verified</x:v>
      </x:c>
      <x:c r="M16" s="44" t="n">
        <x:v>46226</x:v>
      </x:c>
      <x:c r="N16" s="44"/>
      <x:c r="O16" s="44" t="str">
        <x:f>IF(OR(N16="",B16="Accepted",B16="Rejected",B16="Withdrawn",B16="Closed / Expired"),"",N16+7)</x:f>
      </x:c>
      <x:c r="P16" s="44"/>
      <x:c r="Q16" s="46" t="str">
        <x:f>IF(N16="","",TODAY()-N16)</x:f>
      </x:c>
      <x:c r="R16" s="40" t="str">
        <x:f>IF(B16="Not Started","Review requirements and apply",IF(B16="Preparing","Finish application materials",IF(B16="Applied","Check email and candidate portal",IF(B16="Assessment","Complete assessment before deadline",IF(B16="Pending / In Review","Monitor portal and follow up",IF(B16="Interview Scheduled","Prepare STAR stories and interview setup",IF(B16="Interview Completed","Send thank-you and monitor status",IF(B16="Offer Received","Review offer, base and deadline",IF(B16="Accepted","Complete onboarding steps",IF(B16="Rejected","Record reapply date and continue","Update tracker"))))))))))</x:f>
        <x:v>Review requirements and apply</x:v>
      </x:c>
      <x:c r="S16" s="40" t="str">
        <x:v>Age 21+; HS diploma/GED; valid passport required with 30 months remaining by training; 7-week training in Atlanta. Apply quickly—window may close without a set date.</x:v>
      </x:c>
      <x:c r="T16" s="40" t="str">
        <x:v>Flight Attendant Resume - Highlighted</x:v>
      </x:c>
      <x:c r="U16" s="40" t="str"/>
      <x:c r="V16" s="48" t="str">
        <x:v>https://www.delta.com/us/en/careers/flight-attendant-careers</x:v>
      </x:c>
    </x:row>
    <x:row r="17" ht="58" customHeight="1">
      <x:c r="A17" s="40" t="str">
        <x:v>☐</x:v>
      </x:c>
      <x:c r="B17" s="40" t="str">
        <x:v>Not Started</x:v>
      </x:c>
      <x:c r="C17" s="40" t="str">
        <x:v>High</x:v>
      </x:c>
      <x:c r="D17" s="40" t="str">
        <x:v>4 - National / Relocation</x:v>
      </x:c>
      <x:c r="E17" s="40" t="str">
        <x:v>Regional Airline</x:v>
      </x:c>
      <x:c r="F17" s="40" t="str">
        <x:v>SkyWest Airlines</x:v>
      </x:c>
      <x:c r="G17" s="40" t="str">
        <x:v>Flight Attendant</x:v>
      </x:c>
      <x:c r="H17" s="40" t="str">
        <x:v>Flight Attendant</x:v>
      </x:c>
      <x:c r="I17" s="40" t="str">
        <x:v>Multiple U.S. locations</x:v>
      </x:c>
      <x:c r="J17" s="40" t="str">
        <x:v>Full-time</x:v>
      </x:c>
      <x:c r="K17" s="40" t="str">
        <x:v>See official posting</x:v>
      </x:c>
      <x:c r="L17" s="40" t="str">
        <x:v>Open - verified</x:v>
      </x:c>
      <x:c r="M17" s="44" t="n">
        <x:v>46226</x:v>
      </x:c>
      <x:c r="N17" s="44"/>
      <x:c r="O17" s="44" t="str">
        <x:f>IF(OR(N17="",B17="Accepted",B17="Rejected",B17="Withdrawn",B17="Closed / Expired"),"",N17+7)</x:f>
      </x:c>
      <x:c r="P17" s="44"/>
      <x:c r="Q17" s="46" t="str">
        <x:f>IF(N17="","",TODAY()-N17)</x:f>
      </x:c>
      <x:c r="R17" s="40" t="str">
        <x:f>IF(B17="Not Started","Review requirements and apply",IF(B17="Preparing","Finish application materials",IF(B17="Applied","Check email and candidate portal",IF(B17="Assessment","Complete assessment before deadline",IF(B17="Pending / In Review","Monitor portal and follow up",IF(B17="Interview Scheduled","Prepare STAR stories and interview setup",IF(B17="Interview Completed","Send thank-you and monitor status",IF(B17="Offer Received","Review offer, base and deadline",IF(B17="Accepted","Complete onboarding steps",IF(B17="Rejected","Record reapply date and continue","Update tracker"))))))))))</x:f>
        <x:v>Review requirements and apply</x:v>
      </x:c>
      <x:c r="S17" s="40" t="str">
        <x:v>Official current posting. Base is assigned based on operational need; training is held in Salt Lake City.</x:v>
      </x:c>
      <x:c r="T17" s="40" t="str">
        <x:v>Flight Attendant Resume - Highlighted</x:v>
      </x:c>
      <x:c r="U17" s="40" t="str"/>
      <x:c r="V17" s="48" t="str">
        <x:v>https://jobs.skywest.com/skywest-airlines/jobs/16704?lang=en-us</x:v>
      </x:c>
    </x:row>
    <x:row r="18" ht="58" customHeight="1">
      <x:c r="A18" s="40" t="str">
        <x:v>☐</x:v>
      </x:c>
      <x:c r="B18" s="40" t="str">
        <x:v>Not Started</x:v>
      </x:c>
      <x:c r="C18" s="40" t="str">
        <x:v>High</x:v>
      </x:c>
      <x:c r="D18" s="40" t="str">
        <x:v>4 - National / Relocation</x:v>
      </x:c>
      <x:c r="E18" s="40" t="str">
        <x:v>Regional Airline (American)</x:v>
      </x:c>
      <x:c r="F18" s="40" t="str">
        <x:v>PSA Airlines</x:v>
      </x:c>
      <x:c r="G18" s="40" t="str">
        <x:v>Flight Attendant</x:v>
      </x:c>
      <x:c r="H18" s="40" t="str">
        <x:v>Flight Attendant</x:v>
      </x:c>
      <x:c r="I18" s="40" t="str">
        <x:v>Bases: Charlotte, Dayton, Washington, Dallas, Philadelphia</x:v>
      </x:c>
      <x:c r="J18" s="40" t="str">
        <x:v>Full-time</x:v>
      </x:c>
      <x:c r="K18" s="40" t="str">
        <x:v>$27.06 / flight hour</x:v>
      </x:c>
      <x:c r="L18" s="40" t="str">
        <x:v>Recruiting - official page</x:v>
      </x:c>
      <x:c r="M18" s="44" t="n">
        <x:v>46226</x:v>
      </x:c>
      <x:c r="N18" s="44"/>
      <x:c r="O18" s="44" t="str">
        <x:f>IF(OR(N18="",B18="Accepted",B18="Rejected",B18="Withdrawn",B18="Closed / Expired"),"",N18+7)</x:f>
      </x:c>
      <x:c r="P18" s="44"/>
      <x:c r="Q18" s="46" t="str">
        <x:f>IF(N18="","",TODAY()-N18)</x:f>
      </x:c>
      <x:c r="R18" s="40" t="str">
        <x:f>IF(B18="Not Started","Review requirements and apply",IF(B18="Preparing","Finish application materials",IF(B18="Applied","Check email and candidate portal",IF(B18="Assessment","Complete assessment before deadline",IF(B18="Pending / In Review","Monitor portal and follow up",IF(B18="Interview Scheduled","Prepare STAR stories and interview setup",IF(B18="Interview Completed","Send thank-you and monitor status",IF(B18="Offer Received","Review offer, base and deadline",IF(B18="Accepted","Complete onboarding steps",IF(B18="Rejected","Record reapply date and continue","Update tracker"))))))))))</x:f>
        <x:v>Review requirements and apply</x:v>
      </x:c>
      <x:c r="S18" s="40" t="str">
        <x:v>Age 20+; HS diploma plus 2 years customer-facing experience or college degree; passport; 4 weeks paid training in Charlotte; relocation may be required.</x:v>
      </x:c>
      <x:c r="T18" s="40" t="str">
        <x:v>Flight Attendant Resume - Highlighted</x:v>
      </x:c>
      <x:c r="U18" s="40" t="str"/>
      <x:c r="V18" s="48" t="str">
        <x:v>https://psaairlines.com/flight-attendants/</x:v>
      </x:c>
    </x:row>
    <x:row r="19" ht="58" customHeight="1">
      <x:c r="A19" s="40" t="str">
        <x:v>☐</x:v>
      </x:c>
      <x:c r="B19" s="40" t="str">
        <x:v>Not Started</x:v>
      </x:c>
      <x:c r="C19" s="40" t="str">
        <x:v>High</x:v>
      </x:c>
      <x:c r="D19" s="40" t="str">
        <x:v>4 - National / Relocation</x:v>
      </x:c>
      <x:c r="E19" s="40" t="str">
        <x:v>Regional Airline (Delta)</x:v>
      </x:c>
      <x:c r="F19" s="40" t="str">
        <x:v>Endeavor Air</x:v>
      </x:c>
      <x:c r="G19" s="40" t="str">
        <x:v>Flight Attendant</x:v>
      </x:c>
      <x:c r="H19" s="40" t="str">
        <x:v>Flight Attendant</x:v>
      </x:c>
      <x:c r="I19" s="40" t="str">
        <x:v>Hubs include Atlanta, Cincinnati, Detroit, Minneapolis, New York and Raleigh-Durham</x:v>
      </x:c>
      <x:c r="J19" s="40" t="str">
        <x:v>Full-time</x:v>
      </x:c>
      <x:c r="K19" s="40" t="str">
        <x:v>See official posting</x:v>
      </x:c>
      <x:c r="L19" s="40" t="str">
        <x:v>Recruiting - official page</x:v>
      </x:c>
      <x:c r="M19" s="44" t="n">
        <x:v>46226</x:v>
      </x:c>
      <x:c r="N19" s="44"/>
      <x:c r="O19" s="44" t="str">
        <x:f>IF(OR(N19="",B19="Accepted",B19="Rejected",B19="Withdrawn",B19="Closed / Expired"),"",N19+7)</x:f>
      </x:c>
      <x:c r="P19" s="44"/>
      <x:c r="Q19" s="46" t="str">
        <x:f>IF(N19="","",TODAY()-N19)</x:f>
      </x:c>
      <x:c r="R19" s="40" t="str">
        <x:f>IF(B19="Not Started","Review requirements and apply",IF(B19="Preparing","Finish application materials",IF(B19="Applied","Check email and candidate portal",IF(B19="Assessment","Complete assessment before deadline",IF(B19="Pending / In Review","Monitor portal and follow up",IF(B19="Interview Scheduled","Prepare STAR stories and interview setup",IF(B19="Interview Completed","Send thank-you and monitor status",IF(B19="Offer Received","Review offer, base and deadline",IF(B19="Accepted","Complete onboarding steps",IF(B19="Rejected","Record reapply date and continue","Update tracker"))))))))))</x:f>
        <x:v>Review requirements and apply</x:v>
      </x:c>
      <x:c r="S19" s="40" t="str">
        <x:v>Official page says apply today. Safety-focused regional role operating as Delta Connection; base assignment may require relocation.</x:v>
      </x:c>
      <x:c r="T19" s="40" t="str">
        <x:v>Flight Attendant Resume - Highlighted</x:v>
      </x:c>
      <x:c r="U19" s="40" t="str"/>
      <x:c r="V19" s="48" t="str">
        <x:v>https://www.endeavorair.com/content/endeavor-air/en_us/careers/flight-attendants.html</x:v>
      </x:c>
    </x:row>
    <x:row r="20" ht="58" customHeight="1">
      <x:c r="A20" s="40" t="str">
        <x:v>☐</x:v>
      </x:c>
      <x:c r="B20" s="40" t="str">
        <x:v>Not Started</x:v>
      </x:c>
      <x:c r="C20" s="40" t="str">
        <x:v>Medium</x:v>
      </x:c>
      <x:c r="D20" s="40" t="str">
        <x:v>4 - National / Relocation</x:v>
      </x:c>
      <x:c r="E20" s="40" t="str">
        <x:v>Low-Cost Airline</x:v>
      </x:c>
      <x:c r="F20" s="40" t="str">
        <x:v>Avelo Airlines</x:v>
      </x:c>
      <x:c r="G20" s="40" t="str">
        <x:v>Flight Attendant</x:v>
      </x:c>
      <x:c r="H20" s="40" t="str">
        <x:v>Flight Attendant</x:v>
      </x:c>
      <x:c r="I20" s="40" t="str">
        <x:v>New Haven, CT</x:v>
      </x:c>
      <x:c r="J20" s="40" t="str">
        <x:v>Full-time</x:v>
      </x:c>
      <x:c r="K20" s="40" t="str">
        <x:v>$28 / flight hour; 75-hour monthly guarantee</x:v>
      </x:c>
      <x:c r="L20" s="40" t="str">
        <x:v>Open - verified</x:v>
      </x:c>
      <x:c r="M20" s="44" t="n">
        <x:v>46226</x:v>
      </x:c>
      <x:c r="N20" s="44"/>
      <x:c r="O20" s="44" t="str">
        <x:f>IF(OR(N20="",B20="Accepted",B20="Rejected",B20="Withdrawn",B20="Closed / Expired"),"",N20+7)</x:f>
      </x:c>
      <x:c r="P20" s="44"/>
      <x:c r="Q20" s="46" t="str">
        <x:f>IF(N20="","",TODAY()-N20)</x:f>
      </x:c>
      <x:c r="R20" s="40" t="str">
        <x:f>IF(B20="Not Started","Review requirements and apply",IF(B20="Preparing","Finish application materials",IF(B20="Applied","Check email and candidate portal",IF(B20="Assessment","Complete assessment before deadline",IF(B20="Pending / In Review","Monitor portal and follow up",IF(B20="Interview Scheduled","Prepare STAR stories and interview setup",IF(B20="Interview Completed","Send thank-you and monitor status",IF(B20="Offer Received","Review offer, base and deadline",IF(B20="Accepted","Complete onboarding steps",IF(B20="Rejected","Record reapply date and continue","Update tracker"))))))))))</x:f>
        <x:v>Review requirements and apply</x:v>
      </x:c>
      <x:c r="S20" s="40" t="str">
        <x:v>Age 21+; passport with 6+ months validity; must report to base within 2 hours; lifting/pushing requirements; relocation may be required.</x:v>
      </x:c>
      <x:c r="T20" s="40" t="str">
        <x:v>Flight Attendant Resume - Highlighted</x:v>
      </x:c>
      <x:c r="U20" s="40" t="str"/>
      <x:c r="V20" s="48" t="str">
        <x:v>https://recruiting.paylocity.com/recruiting/jobs/Details/4280858/Avelo-Airlines-Inc/Flight-Attendant</x:v>
      </x:c>
    </x:row>
    <x:row r="21" ht="58" customHeight="1">
      <x:c r="A21" s="40" t="str">
        <x:v>☐</x:v>
      </x:c>
      <x:c r="B21" s="40" t="str">
        <x:v>Not Started</x:v>
      </x:c>
      <x:c r="C21" s="40" t="str">
        <x:v>Medium</x:v>
      </x:c>
      <x:c r="D21" s="40" t="str">
        <x:v>4 - National / Relocation</x:v>
      </x:c>
      <x:c r="E21" s="40" t="str">
        <x:v>Regional/Charter Airline</x:v>
      </x:c>
      <x:c r="F21" s="40" t="str">
        <x:v>Contour Airlines</x:v>
      </x:c>
      <x:c r="G21" s="40" t="str">
        <x:v>Flight Attendant</x:v>
      </x:c>
      <x:c r="H21" s="40" t="str">
        <x:v>Flight Attendant</x:v>
      </x:c>
      <x:c r="I21" s="40" t="str">
        <x:v>Dallas/Fort Worth, TX</x:v>
      </x:c>
      <x:c r="J21" s="40" t="str">
        <x:v>Full-time</x:v>
      </x:c>
      <x:c r="K21" s="40" t="str">
        <x:v>See official posting</x:v>
      </x:c>
      <x:c r="L21" s="40" t="str">
        <x:v>Open - verified</x:v>
      </x:c>
      <x:c r="M21" s="44" t="n">
        <x:v>46226</x:v>
      </x:c>
      <x:c r="N21" s="44"/>
      <x:c r="O21" s="44" t="str">
        <x:f>IF(OR(N21="",B21="Accepted",B21="Rejected",B21="Withdrawn",B21="Closed / Expired"),"",N21+7)</x:f>
      </x:c>
      <x:c r="P21" s="44"/>
      <x:c r="Q21" s="46" t="str">
        <x:f>IF(N21="","",TODAY()-N21)</x:f>
      </x:c>
      <x:c r="R21" s="40" t="str">
        <x:f>IF(B21="Not Started","Review requirements and apply",IF(B21="Preparing","Finish application materials",IF(B21="Applied","Check email and candidate portal",IF(B21="Assessment","Complete assessment before deadline",IF(B21="Pending / In Review","Monitor portal and follow up",IF(B21="Interview Scheduled","Prepare STAR stories and interview setup",IF(B21="Interview Completed","Send thank-you and monitor status",IF(B21="Offer Received","Review offer, base and deadline",IF(B21="Accepted","Complete onboarding steps",IF(B21="Rejected","Record reapply date and continue","Update tracker"))))))))))</x:f>
        <x:v>Review requirements and apply</x:v>
      </x:c>
      <x:c r="S21" s="40" t="str">
        <x:v>Official Contour opening. Passenger safety, security, comfort and customer service; relocation required.</x:v>
      </x:c>
      <x:c r="T21" s="40" t="str">
        <x:v>Flight Attendant Resume - Highlighted</x:v>
      </x:c>
      <x:c r="U21" s="40" t="str"/>
      <x:c r="V21" s="48" t="str">
        <x:v>https://www.paycomonline.net/v4/ats/web.php/portal/4E8FCB0F31AC88147F0DB7B85238B354/jobs/325324</x:v>
      </x:c>
    </x:row>
    <x:row r="22" ht="58" customHeight="1">
      <x:c r="A22" s="40" t="str">
        <x:v>☐</x:v>
      </x:c>
      <x:c r="B22" s="40" t="str">
        <x:v>Not Started</x:v>
      </x:c>
      <x:c r="C22" s="40" t="str">
        <x:v>Medium</x:v>
      </x:c>
      <x:c r="D22" s="40" t="str">
        <x:v>4 - National / Relocation</x:v>
      </x:c>
      <x:c r="E22" s="40" t="str">
        <x:v>Regional/Charter Airline</x:v>
      </x:c>
      <x:c r="F22" s="40" t="str">
        <x:v>Contour Airlines</x:v>
      </x:c>
      <x:c r="G22" s="40" t="str">
        <x:v>Flight Attendant</x:v>
      </x:c>
      <x:c r="H22" s="40" t="str">
        <x:v>Flight Attendant</x:v>
      </x:c>
      <x:c r="I22" s="40" t="str">
        <x:v>Phoenix, AZ</x:v>
      </x:c>
      <x:c r="J22" s="40" t="str">
        <x:v>Full-time</x:v>
      </x:c>
      <x:c r="K22" s="40" t="str">
        <x:v>See official posting</x:v>
      </x:c>
      <x:c r="L22" s="40" t="str">
        <x:v>Open - verified</x:v>
      </x:c>
      <x:c r="M22" s="44" t="n">
        <x:v>46226</x:v>
      </x:c>
      <x:c r="N22" s="44"/>
      <x:c r="O22" s="44" t="str">
        <x:f>IF(OR(N22="",B22="Accepted",B22="Rejected",B22="Withdrawn",B22="Closed / Expired"),"",N22+7)</x:f>
      </x:c>
      <x:c r="P22" s="44"/>
      <x:c r="Q22" s="46" t="str">
        <x:f>IF(N22="","",TODAY()-N22)</x:f>
      </x:c>
      <x:c r="R22" s="40" t="str">
        <x:f>IF(B22="Not Started","Review requirements and apply",IF(B22="Preparing","Finish application materials",IF(B22="Applied","Check email and candidate portal",IF(B22="Assessment","Complete assessment before deadline",IF(B22="Pending / In Review","Monitor portal and follow up",IF(B22="Interview Scheduled","Prepare STAR stories and interview setup",IF(B22="Interview Completed","Send thank-you and monitor status",IF(B22="Offer Received","Review offer, base and deadline",IF(B22="Accepted","Complete onboarding steps",IF(B22="Rejected","Record reapply date and continue","Update tracker"))))))))))</x:f>
        <x:v>Review requirements and apply</x:v>
      </x:c>
      <x:c r="S22" s="40" t="str">
        <x:v>Official Contour opening. Passenger safety, security, comfort and customer service; relocation required.</x:v>
      </x:c>
      <x:c r="T22" s="40" t="str">
        <x:v>Flight Attendant Resume - Highlighted</x:v>
      </x:c>
      <x:c r="U22" s="40" t="str"/>
      <x:c r="V22" s="48" t="str">
        <x:v>https://www.paycomonline.net/v4/ats/web.php/portal/4E8FCB0F31AC88147F0DB7B85238B354/jobs/322835</x:v>
      </x:c>
    </x:row>
    <x:row r="23" ht="58" customHeight="1">
      <x:c r="A23" s="40" t="str">
        <x:v>☐</x:v>
      </x:c>
      <x:c r="B23" s="40" t="str">
        <x:v>Not Started</x:v>
      </x:c>
      <x:c r="C23" s="40" t="str">
        <x:v>Low</x:v>
      </x:c>
      <x:c r="D23" s="40" t="str">
        <x:v>4 - National / Relocation</x:v>
      </x:c>
      <x:c r="E23" s="40" t="str">
        <x:v>Regional/Charter Airline</x:v>
      </x:c>
      <x:c r="F23" s="40" t="str">
        <x:v>Contour Airlines</x:v>
      </x:c>
      <x:c r="G23" s="40" t="str">
        <x:v>Flight Attendant - Charter Service</x:v>
      </x:c>
      <x:c r="H23" s="40" t="str">
        <x:v>Flight Attendant</x:v>
      </x:c>
      <x:c r="I23" s="40" t="str">
        <x:v>New York, NY</x:v>
      </x:c>
      <x:c r="J23" s="40" t="str">
        <x:v>Full-time</x:v>
      </x:c>
      <x:c r="K23" s="40" t="str">
        <x:v>See official posting</x:v>
      </x:c>
      <x:c r="L23" s="40" t="str">
        <x:v>Open - verified</x:v>
      </x:c>
      <x:c r="M23" s="44" t="n">
        <x:v>46226</x:v>
      </x:c>
      <x:c r="N23" s="44"/>
      <x:c r="O23" s="44" t="str">
        <x:f>IF(OR(N23="",B23="Accepted",B23="Rejected",B23="Withdrawn",B23="Closed / Expired"),"",N23+7)</x:f>
      </x:c>
      <x:c r="P23" s="44"/>
      <x:c r="Q23" s="46" t="str">
        <x:f>IF(N23="","",TODAY()-N23)</x:f>
      </x:c>
      <x:c r="R23" s="40" t="str">
        <x:f>IF(B23="Not Started","Review requirements and apply",IF(B23="Preparing","Finish application materials",IF(B23="Applied","Check email and candidate portal",IF(B23="Assessment","Complete assessment before deadline",IF(B23="Pending / In Review","Monitor portal and follow up",IF(B23="Interview Scheduled","Prepare STAR stories and interview setup",IF(B23="Interview Completed","Send thank-you and monitor status",IF(B23="Offer Received","Review offer, base and deadline",IF(B23="Accepted","Complete onboarding steps",IF(B23="Rejected","Record reapply date and continue","Update tracker"))))))))))</x:f>
        <x:v>Review requirements and apply</x:v>
      </x:c>
      <x:c r="S23" s="40" t="str">
        <x:v>Official charter-service opening. Higher relocation cost from Florida; keep as a backup.</x:v>
      </x:c>
      <x:c r="T23" s="40" t="str">
        <x:v>Flight Attendant Resume - Highlighted</x:v>
      </x:c>
      <x:c r="U23" s="40" t="str"/>
      <x:c r="V23" s="48" t="str">
        <x:v>https://www.paycomonline.net/v4/ats/web.php/portal/4E8FCB0F31AC88147F0DB7B85238B354/jobs/331558</x:v>
      </x:c>
    </x:row>
    <x:row r="24" ht="58" customHeight="1">
      <x:c r="A24" s="40" t="str">
        <x:v>☐</x:v>
      </x:c>
      <x:c r="B24" s="40" t="str">
        <x:v>Not Started</x:v>
      </x:c>
      <x:c r="C24" s="40" t="str">
        <x:v>Low</x:v>
      </x:c>
      <x:c r="D24" s="40" t="str">
        <x:v>4 - National / Relocation</x:v>
      </x:c>
      <x:c r="E24" s="40" t="str">
        <x:v>Low-Cost Airline</x:v>
      </x:c>
      <x:c r="F24" s="40" t="str">
        <x:v>Breeze Airways</x:v>
      </x:c>
      <x:c r="G24" s="40" t="str">
        <x:v>Flight Attendant - Part Time</x:v>
      </x:c>
      <x:c r="H24" s="40" t="str">
        <x:v>Flight Attendant</x:v>
      </x:c>
      <x:c r="I24" s="40" t="str">
        <x:v>Charleston, SC</x:v>
      </x:c>
      <x:c r="J24" s="40" t="str">
        <x:v>Part-time</x:v>
      </x:c>
      <x:c r="K24" s="40" t="str">
        <x:v>$25.00-$37.50 / flight hour</x:v>
      </x:c>
      <x:c r="L24" s="40" t="str">
        <x:v>Open - verified</x:v>
      </x:c>
      <x:c r="M24" s="44" t="n">
        <x:v>46226</x:v>
      </x:c>
      <x:c r="N24" s="44"/>
      <x:c r="O24" s="44" t="str">
        <x:f>IF(OR(N24="",B24="Accepted",B24="Rejected",B24="Withdrawn",B24="Closed / Expired"),"",N24+7)</x:f>
      </x:c>
      <x:c r="P24" s="44"/>
      <x:c r="Q24" s="46" t="str">
        <x:f>IF(N24="","",TODAY()-N24)</x:f>
      </x:c>
      <x:c r="R24" s="40" t="str">
        <x:f>IF(B24="Not Started","Review requirements and apply",IF(B24="Preparing","Finish application materials",IF(B24="Applied","Check email and candidate portal",IF(B24="Assessment","Complete assessment before deadline",IF(B24="Pending / In Review","Monitor portal and follow up",IF(B24="Interview Scheduled","Prepare STAR stories and interview setup",IF(B24="Interview Completed","Send thank-you and monitor status",IF(B24="Offer Received","Review offer, base and deadline",IF(B24="Accepted","Complete onboarding steps",IF(B24="Rejected","Record reapply date and continue","Update tracker"))))))))))</x:f>
        <x:v>Review requirements and apply</x:v>
      </x:c>
      <x:c r="S24" s="40" t="str">
        <x:v>Must live within 2 hours of base. Only one Breeze FA application every 3 months.</x:v>
      </x:c>
      <x:c r="T24" s="40" t="str">
        <x:v>Flight Attendant Resume - Highlighted</x:v>
      </x:c>
      <x:c r="U24" s="40" t="str"/>
      <x:c r="V24" s="48" t="str">
        <x:v>https://job-boards.greenhouse.io/breezeairways/jobs/7792798003</x:v>
      </x:c>
    </x:row>
    <x:row r="25" ht="58" customHeight="1">
      <x:c r="A25" s="40" t="str">
        <x:v>☐</x:v>
      </x:c>
      <x:c r="B25" s="40" t="str">
        <x:v>Not Started</x:v>
      </x:c>
      <x:c r="C25" s="40" t="str">
        <x:v>Low</x:v>
      </x:c>
      <x:c r="D25" s="40" t="str">
        <x:v>4 - National / Relocation</x:v>
      </x:c>
      <x:c r="E25" s="40" t="str">
        <x:v>Low-Cost Airline</x:v>
      </x:c>
      <x:c r="F25" s="40" t="str">
        <x:v>Breeze Airways</x:v>
      </x:c>
      <x:c r="G25" s="40" t="str">
        <x:v>Flight Attendant - Part Time</x:v>
      </x:c>
      <x:c r="H25" s="40" t="str">
        <x:v>Flight Attendant</x:v>
      </x:c>
      <x:c r="I25" s="40" t="str">
        <x:v>New Orleans, LA</x:v>
      </x:c>
      <x:c r="J25" s="40" t="str">
        <x:v>Part-time</x:v>
      </x:c>
      <x:c r="K25" s="40" t="str">
        <x:v>$25.00-$37.50 / flight hour</x:v>
      </x:c>
      <x:c r="L25" s="40" t="str">
        <x:v>Open - verified</x:v>
      </x:c>
      <x:c r="M25" s="44" t="n">
        <x:v>46226</x:v>
      </x:c>
      <x:c r="N25" s="44"/>
      <x:c r="O25" s="44" t="str">
        <x:f>IF(OR(N25="",B25="Accepted",B25="Rejected",B25="Withdrawn",B25="Closed / Expired"),"",N25+7)</x:f>
      </x:c>
      <x:c r="P25" s="44"/>
      <x:c r="Q25" s="46" t="str">
        <x:f>IF(N25="","",TODAY()-N25)</x:f>
      </x:c>
      <x:c r="R25" s="40" t="str">
        <x:f>IF(B25="Not Started","Review requirements and apply",IF(B25="Preparing","Finish application materials",IF(B25="Applied","Check email and candidate portal",IF(B25="Assessment","Complete assessment before deadline",IF(B25="Pending / In Review","Monitor portal and follow up",IF(B25="Interview Scheduled","Prepare STAR stories and interview setup",IF(B25="Interview Completed","Send thank-you and monitor status",IF(B25="Offer Received","Review offer, base and deadline",IF(B25="Accepted","Complete onboarding steps",IF(B25="Rejected","Record reapply date and continue","Update tracker"))))))))))</x:f>
        <x:v>Review requirements and apply</x:v>
      </x:c>
      <x:c r="S25" s="40" t="str">
        <x:v>Must live within 2 hours of base. Only one Breeze FA application every 3 months.</x:v>
      </x:c>
      <x:c r="T25" s="40" t="str">
        <x:v>Flight Attendant Resume - Highlighted</x:v>
      </x:c>
      <x:c r="U25" s="40" t="str"/>
      <x:c r="V25" s="48" t="str">
        <x:v>https://job-boards.greenhouse.io/breezeairways/jobs/7761927003</x:v>
      </x:c>
    </x:row>
    <x:row r="26" ht="58" customHeight="1">
      <x:c r="A26" s="40" t="str">
        <x:v>☐</x:v>
      </x:c>
      <x:c r="B26" s="40" t="str">
        <x:v>Not Started</x:v>
      </x:c>
      <x:c r="C26" s="40" t="str">
        <x:v>Low</x:v>
      </x:c>
      <x:c r="D26" s="40" t="str">
        <x:v>4 - National / Relocation</x:v>
      </x:c>
      <x:c r="E26" s="40" t="str">
        <x:v>Low-Cost Airline</x:v>
      </x:c>
      <x:c r="F26" s="40" t="str">
        <x:v>Breeze Airways</x:v>
      </x:c>
      <x:c r="G26" s="40" t="str">
        <x:v>Flight Attendant - Part Time</x:v>
      </x:c>
      <x:c r="H26" s="40" t="str">
        <x:v>Flight Attendant</x:v>
      </x:c>
      <x:c r="I26" s="40" t="str">
        <x:v>Norfolk, VA</x:v>
      </x:c>
      <x:c r="J26" s="40" t="str">
        <x:v>Part-time</x:v>
      </x:c>
      <x:c r="K26" s="40" t="str">
        <x:v>$25.00-$37.50 / flight hour</x:v>
      </x:c>
      <x:c r="L26" s="40" t="str">
        <x:v>Open - verified</x:v>
      </x:c>
      <x:c r="M26" s="44" t="n">
        <x:v>46226</x:v>
      </x:c>
      <x:c r="N26" s="44"/>
      <x:c r="O26" s="44" t="str">
        <x:f>IF(OR(N26="",B26="Accepted",B26="Rejected",B26="Withdrawn",B26="Closed / Expired"),"",N26+7)</x:f>
      </x:c>
      <x:c r="P26" s="44"/>
      <x:c r="Q26" s="46" t="str">
        <x:f>IF(N26="","",TODAY()-N26)</x:f>
      </x:c>
      <x:c r="R26" s="40" t="str">
        <x:f>IF(B26="Not Started","Review requirements and apply",IF(B26="Preparing","Finish application materials",IF(B26="Applied","Check email and candidate portal",IF(B26="Assessment","Complete assessment before deadline",IF(B26="Pending / In Review","Monitor portal and follow up",IF(B26="Interview Scheduled","Prepare STAR stories and interview setup",IF(B26="Interview Completed","Send thank-you and monitor status",IF(B26="Offer Received","Review offer, base and deadline",IF(B26="Accepted","Complete onboarding steps",IF(B26="Rejected","Record reapply date and continue","Update tracker"))))))))))</x:f>
        <x:v>Review requirements and apply</x:v>
      </x:c>
      <x:c r="S26" s="40" t="str">
        <x:v>Must live within 2 hours of base. Only one Breeze FA application every 3 months.</x:v>
      </x:c>
      <x:c r="T26" s="40" t="str">
        <x:v>Flight Attendant Resume - Highlighted</x:v>
      </x:c>
      <x:c r="U26" s="40" t="str"/>
      <x:c r="V26" s="48" t="str">
        <x:v>https://job-boards.greenhouse.io/breezeairways/jobs/7761929003</x:v>
      </x:c>
    </x:row>
    <x:row r="27" ht="58" customHeight="1">
      <x:c r="A27" s="40" t="str">
        <x:v>☐</x:v>
      </x:c>
      <x:c r="B27" s="40" t="str">
        <x:v>Not Started</x:v>
      </x:c>
      <x:c r="C27" s="40" t="str">
        <x:v>Low</x:v>
      </x:c>
      <x:c r="D27" s="40" t="str">
        <x:v>4 - National / Relocation</x:v>
      </x:c>
      <x:c r="E27" s="40" t="str">
        <x:v>Low-Cost Airline</x:v>
      </x:c>
      <x:c r="F27" s="40" t="str">
        <x:v>Breeze Airways</x:v>
      </x:c>
      <x:c r="G27" s="40" t="str">
        <x:v>Flight Attendant - Part Time</x:v>
      </x:c>
      <x:c r="H27" s="40" t="str">
        <x:v>Flight Attendant</x:v>
      </x:c>
      <x:c r="I27" s="40" t="str">
        <x:v>Providence, RI</x:v>
      </x:c>
      <x:c r="J27" s="40" t="str">
        <x:v>Part-time</x:v>
      </x:c>
      <x:c r="K27" s="40" t="str">
        <x:v>$25.00-$37.50 / flight hour</x:v>
      </x:c>
      <x:c r="L27" s="40" t="str">
        <x:v>Open - verified</x:v>
      </x:c>
      <x:c r="M27" s="44" t="n">
        <x:v>46226</x:v>
      </x:c>
      <x:c r="N27" s="44"/>
      <x:c r="O27" s="44" t="str">
        <x:f>IF(OR(N27="",B27="Accepted",B27="Rejected",B27="Withdrawn",B27="Closed / Expired"),"",N27+7)</x:f>
      </x:c>
      <x:c r="P27" s="44"/>
      <x:c r="Q27" s="46" t="str">
        <x:f>IF(N27="","",TODAY()-N27)</x:f>
      </x:c>
      <x:c r="R27" s="40" t="str">
        <x:f>IF(B27="Not Started","Review requirements and apply",IF(B27="Preparing","Finish application materials",IF(B27="Applied","Check email and candidate portal",IF(B27="Assessment","Complete assessment before deadline",IF(B27="Pending / In Review","Monitor portal and follow up",IF(B27="Interview Scheduled","Prepare STAR stories and interview setup",IF(B27="Interview Completed","Send thank-you and monitor status",IF(B27="Offer Received","Review offer, base and deadline",IF(B27="Accepted","Complete onboarding steps",IF(B27="Rejected","Record reapply date and continue","Update tracker"))))))))))</x:f>
        <x:v>Review requirements and apply</x:v>
      </x:c>
      <x:c r="S27" s="40" t="str">
        <x:v>Must live within 2 hours of base. Only one Breeze FA application every 3 months.</x:v>
      </x:c>
      <x:c r="T27" s="40" t="str">
        <x:v>Flight Attendant Resume - Highlighted</x:v>
      </x:c>
      <x:c r="U27" s="40" t="str"/>
      <x:c r="V27" s="48" t="str">
        <x:v>https://job-boards.greenhouse.io/breezeairways/jobs/7761932003</x:v>
      </x:c>
    </x:row>
    <x:row r="28" ht="58" customHeight="1">
      <x:c r="A28" s="40" t="str">
        <x:v>☐</x:v>
      </x:c>
      <x:c r="B28" s="40" t="str">
        <x:v>Not Started</x:v>
      </x:c>
      <x:c r="C28" s="40" t="str">
        <x:v>Low</x:v>
      </x:c>
      <x:c r="D28" s="40" t="str">
        <x:v>4 - National / Relocation</x:v>
      </x:c>
      <x:c r="E28" s="40" t="str">
        <x:v>Low-Cost Airline</x:v>
      </x:c>
      <x:c r="F28" s="40" t="str">
        <x:v>Breeze Airways</x:v>
      </x:c>
      <x:c r="G28" s="40" t="str">
        <x:v>Flight Attendant - Part Time</x:v>
      </x:c>
      <x:c r="H28" s="40" t="str">
        <x:v>Flight Attendant</x:v>
      </x:c>
      <x:c r="I28" s="40" t="str">
        <x:v>Windsor Locks, CT</x:v>
      </x:c>
      <x:c r="J28" s="40" t="str">
        <x:v>Part-time</x:v>
      </x:c>
      <x:c r="K28" s="40" t="str">
        <x:v>$25.00-$37.50 / flight hour</x:v>
      </x:c>
      <x:c r="L28" s="40" t="str">
        <x:v>Open - verified</x:v>
      </x:c>
      <x:c r="M28" s="44" t="n">
        <x:v>46226</x:v>
      </x:c>
      <x:c r="N28" s="44"/>
      <x:c r="O28" s="44" t="str">
        <x:f>IF(OR(N28="",B28="Accepted",B28="Rejected",B28="Withdrawn",B28="Closed / Expired"),"",N28+7)</x:f>
      </x:c>
      <x:c r="P28" s="44"/>
      <x:c r="Q28" s="46" t="str">
        <x:f>IF(N28="","",TODAY()-N28)</x:f>
      </x:c>
      <x:c r="R28" s="40" t="str">
        <x:f>IF(B28="Not Started","Review requirements and apply",IF(B28="Preparing","Finish application materials",IF(B28="Applied","Check email and candidate portal",IF(B28="Assessment","Complete assessment before deadline",IF(B28="Pending / In Review","Monitor portal and follow up",IF(B28="Interview Scheduled","Prepare STAR stories and interview setup",IF(B28="Interview Completed","Send thank-you and monitor status",IF(B28="Offer Received","Review offer, base and deadline",IF(B28="Accepted","Complete onboarding steps",IF(B28="Rejected","Record reapply date and continue","Update tracker"))))))))))</x:f>
        <x:v>Review requirements and apply</x:v>
      </x:c>
      <x:c r="S28" s="40" t="str">
        <x:v>BDL/HVN co-domicile may require seasonal work at both airports. Only one Breeze FA application every 3 months.</x:v>
      </x:c>
      <x:c r="T28" s="40" t="str">
        <x:v>Flight Attendant Resume - Highlighted</x:v>
      </x:c>
      <x:c r="U28" s="40" t="str"/>
      <x:c r="V28" s="48" t="str">
        <x:v>https://job-boards.greenhouse.io/breezeairways/jobs/7761879003</x:v>
      </x:c>
    </x:row>
    <x:row r="29" ht="58" customHeight="1">
      <x:c r="A29" s="40" t="str">
        <x:v>☐</x:v>
      </x:c>
      <x:c r="B29" s="40" t="str">
        <x:v>Not Started</x:v>
      </x:c>
      <x:c r="C29" s="40" t="str">
        <x:v>Low</x:v>
      </x:c>
      <x:c r="D29" s="40" t="str">
        <x:v>4 - National / Relocation</x:v>
      </x:c>
      <x:c r="E29" s="40" t="str">
        <x:v>Low-Cost Airline</x:v>
      </x:c>
      <x:c r="F29" s="40" t="str">
        <x:v>Breeze Airways</x:v>
      </x:c>
      <x:c r="G29" s="40" t="str">
        <x:v>Flight Attendant - Part Time</x:v>
      </x:c>
      <x:c r="H29" s="40" t="str">
        <x:v>Flight Attendant</x:v>
      </x:c>
      <x:c r="I29" s="40" t="str">
        <x:v>Akron, OH</x:v>
      </x:c>
      <x:c r="J29" s="40" t="str">
        <x:v>Part-time</x:v>
      </x:c>
      <x:c r="K29" s="40" t="str">
        <x:v>$25.00-$37.50 / flight hour</x:v>
      </x:c>
      <x:c r="L29" s="40" t="str">
        <x:v>Open - verified</x:v>
      </x:c>
      <x:c r="M29" s="44" t="n">
        <x:v>46226</x:v>
      </x:c>
      <x:c r="N29" s="44"/>
      <x:c r="O29" s="44" t="str">
        <x:f>IF(OR(N29="",B29="Accepted",B29="Rejected",B29="Withdrawn",B29="Closed / Expired"),"",N29+7)</x:f>
      </x:c>
      <x:c r="P29" s="44"/>
      <x:c r="Q29" s="46" t="str">
        <x:f>IF(N29="","",TODAY()-N29)</x:f>
      </x:c>
      <x:c r="R29" s="40" t="str">
        <x:f>IF(B29="Not Started","Review requirements and apply",IF(B29="Preparing","Finish application materials",IF(B29="Applied","Check email and candidate portal",IF(B29="Assessment","Complete assessment before deadline",IF(B29="Pending / In Review","Monitor portal and follow up",IF(B29="Interview Scheduled","Prepare STAR stories and interview setup",IF(B29="Interview Completed","Send thank-you and monitor status",IF(B29="Offer Received","Review offer, base and deadline",IF(B29="Accepted","Complete onboarding steps",IF(B29="Rejected","Record reapply date and continue","Update tracker"))))))))))</x:f>
        <x:v>Review requirements and apply</x:v>
      </x:c>
      <x:c r="S29" s="40" t="str">
        <x:v>Must live within 2 hours of base. Only one Breeze FA application every 3 months.</x:v>
      </x:c>
      <x:c r="T29" s="40" t="str">
        <x:v>Flight Attendant Resume - Highlighted</x:v>
      </x:c>
      <x:c r="U29" s="40" t="str"/>
      <x:c r="V29" s="48" t="str">
        <x:v>https://job-boards.greenhouse.io/breezeairways/jobs/7761906003</x:v>
      </x:c>
    </x:row>
    <x:row r="30" ht="58" customHeight="1">
      <x:c r="A30" s="40" t="str">
        <x:v>☐</x:v>
      </x:c>
      <x:c r="B30" s="40" t="str">
        <x:v>Not Started</x:v>
      </x:c>
      <x:c r="C30" s="40" t="str">
        <x:v>Low</x:v>
      </x:c>
      <x:c r="D30" s="40" t="str">
        <x:v>4 - National / Relocation</x:v>
      </x:c>
      <x:c r="E30" s="40" t="str">
        <x:v>Low-Cost Airline</x:v>
      </x:c>
      <x:c r="F30" s="40" t="str">
        <x:v>Breeze Airways</x:v>
      </x:c>
      <x:c r="G30" s="40" t="str">
        <x:v>Flight Attendant - Part Time</x:v>
      </x:c>
      <x:c r="H30" s="40" t="str">
        <x:v>Flight Attendant</x:v>
      </x:c>
      <x:c r="I30" s="40" t="str">
        <x:v>Provo, UT</x:v>
      </x:c>
      <x:c r="J30" s="40" t="str">
        <x:v>Part-time</x:v>
      </x:c>
      <x:c r="K30" s="40" t="str">
        <x:v>$25.00-$37.50 / flight hour</x:v>
      </x:c>
      <x:c r="L30" s="40" t="str">
        <x:v>Open - verified</x:v>
      </x:c>
      <x:c r="M30" s="44" t="n">
        <x:v>46226</x:v>
      </x:c>
      <x:c r="N30" s="44"/>
      <x:c r="O30" s="44" t="str">
        <x:f>IF(OR(N30="",B30="Accepted",B30="Rejected",B30="Withdrawn",B30="Closed / Expired"),"",N30+7)</x:f>
      </x:c>
      <x:c r="P30" s="44"/>
      <x:c r="Q30" s="46" t="str">
        <x:f>IF(N30="","",TODAY()-N30)</x:f>
      </x:c>
      <x:c r="R30" s="40" t="str">
        <x:f>IF(B30="Not Started","Review requirements and apply",IF(B30="Preparing","Finish application materials",IF(B30="Applied","Check email and candidate portal",IF(B30="Assessment","Complete assessment before deadline",IF(B30="Pending / In Review","Monitor portal and follow up",IF(B30="Interview Scheduled","Prepare STAR stories and interview setup",IF(B30="Interview Completed","Send thank-you and monitor status",IF(B30="Offer Received","Review offer, base and deadline",IF(B30="Accepted","Complete onboarding steps",IF(B30="Rejected","Record reapply date and continue","Update tracker"))))))))))</x:f>
        <x:v>Review requirements and apply</x:v>
      </x:c>
      <x:c r="S30" s="40" t="str">
        <x:v>Must live within 2 hours of base. Only one Breeze FA application every 3 months.</x:v>
      </x:c>
      <x:c r="T30" s="40" t="str">
        <x:v>Flight Attendant Resume - Highlighted</x:v>
      </x:c>
      <x:c r="U30" s="40" t="str"/>
      <x:c r="V30" s="48" t="str">
        <x:v>https://job-boards.greenhouse.io/breezeairways/jobs/7761935003</x:v>
      </x:c>
    </x:row>
    <x:row r="31" ht="58" customHeight="1">
      <x:c r="A31" s="112" t="str">
        <x:v>☐</x:v>
      </x:c>
      <x:c r="B31" s="112" t="str">
        <x:v>Not Started</x:v>
      </x:c>
      <x:c r="C31" s="112" t="str">
        <x:v>High</x:v>
      </x:c>
      <x:c r="D31" s="112" t="str">
        <x:v>1 - Tampa Bay</x:v>
      </x:c>
      <x:c r="E31" s="112" t="str">
        <x:v>Aviation Services</x:v>
      </x:c>
      <x:c r="F31" s="112" t="str">
        <x:v>Menzies Aviation</x:v>
      </x:c>
      <x:c r="G31" s="112" t="str">
        <x:v>Passenger Service Agent (Part Time)</x:v>
      </x:c>
      <x:c r="H31" s="112" t="str">
        <x:v>Airport Passenger Service</x:v>
      </x:c>
      <x:c r="I31" s="112" t="str">
        <x:v>Tampa, FL (TPA)</x:v>
      </x:c>
      <x:c r="J31" s="112" t="str">
        <x:v>Part-time</x:v>
      </x:c>
      <x:c r="K31" s="112" t="str">
        <x:v>$16.00 / hour</x:v>
      </x:c>
      <x:c r="L31" s="112" t="str">
        <x:v>Open - verified</x:v>
      </x:c>
      <x:c r="M31" s="113" t="n">
        <x:v>46226</x:v>
      </x:c>
      <x:c r="N31" s="113"/>
      <x:c r="O31" s="113" t="str">
        <x:f>IF(OR(N31="",B31="Accepted",B31="Rejected",B31="Withdrawn",B31="Closed / Expired"),"",N31+7)</x:f>
      </x:c>
      <x:c r="P31" s="113"/>
      <x:c r="Q31" s="114" t="str">
        <x:f>IF(N31="","",TODAY()-N31)</x:f>
      </x:c>
      <x:c r="R31" s="112" t="str">
        <x:f>IF(B31="Not Started","Review requirements and apply",IF(B31="Preparing","Finish application materials",IF(B31="Applied","Check email and candidate portal",IF(B31="Assessment","Complete assessment before deadline",IF(B31="Pending / In Review","Monitor portal and follow up",IF(B31="Interview Scheduled","Prepare STAR stories and interview setup",IF(B31="Interview Completed","Send thank-you and monitor status",IF(B31="Offer Received","Review offer, base and deadline",IF(B31="Accepted","Complete onboarding steps",IF(B31="Rejected","Record reapply date and continue","Update tracker"))))))))))</x:f>
        <x:v>Review requirements and apply</x:v>
      </x:c>
      <x:c r="S31" s="112" t="str">
        <x:v>Computerized passenger check-in, seat assignments and travel assistance. Paid training, uniform and flight benefits listed.</x:v>
      </x:c>
      <x:c r="T31" s="112" t="str">
        <x:v>Flight Attendant Resume - Highlighted</x:v>
      </x:c>
      <x:c r="U31" s="112" t="str"/>
      <x:c r="V31" s="115" t="str">
        <x:v>https://recruiting2.ultipro.com/MEN1002MENZI/JobBoard/c62dfe4d-64ad-4642-8cd0-17a30715a697/OpportunityDetail?opportunityId=48fe50fd-9e55-42aa-a021-5dbd4050d5f8</x:v>
      </x:c>
    </x:row>
    <x:row r="32" ht="58" customHeight="1">
      <x:c r="A32" s="112" t="str">
        <x:v>☐</x:v>
      </x:c>
      <x:c r="B32" s="112" t="str">
        <x:v>Not Started</x:v>
      </x:c>
      <x:c r="C32" s="112" t="str">
        <x:v>Medium</x:v>
      </x:c>
      <x:c r="D32" s="112" t="str">
        <x:v>1 - Tampa Bay</x:v>
      </x:c>
      <x:c r="E32" s="112" t="str">
        <x:v>Aviation Services</x:v>
      </x:c>
      <x:c r="F32" s="112" t="str">
        <x:v>Menzies Aviation</x:v>
      </x:c>
      <x:c r="G32" s="112" t="str">
        <x:v>Passenger Service Agent — English/Spanish</x:v>
      </x:c>
      <x:c r="H32" s="112" t="str">
        <x:v>Airport Passenger Service</x:v>
      </x:c>
      <x:c r="I32" s="112" t="str">
        <x:v>Tampa, FL (TPA)</x:v>
      </x:c>
      <x:c r="J32" s="112" t="str">
        <x:v>Part-time</x:v>
      </x:c>
      <x:c r="K32" s="112" t="str">
        <x:v>$16.00 / hour</x:v>
      </x:c>
      <x:c r="L32" s="112" t="str">
        <x:v>Open - verified</x:v>
      </x:c>
      <x:c r="M32" s="113" t="n">
        <x:v>46226</x:v>
      </x:c>
      <x:c r="N32" s="113"/>
      <x:c r="O32" s="113" t="str">
        <x:f>IF(OR(N32="",B32="Accepted",B32="Rejected",B32="Withdrawn",B32="Closed / Expired"),"",N32+7)</x:f>
      </x:c>
      <x:c r="P32" s="113"/>
      <x:c r="Q32" s="114" t="str">
        <x:f>IF(N32="","",TODAY()-N32)</x:f>
      </x:c>
      <x:c r="R32" s="112" t="str">
        <x:f>IF(B32="Not Started","Review requirements and apply",IF(B32="Preparing","Finish application materials",IF(B32="Applied","Check email and candidate portal",IF(B32="Assessment","Complete assessment before deadline",IF(B32="Pending / In Review","Monitor portal and follow up",IF(B32="Interview Scheduled","Prepare STAR stories and interview setup",IF(B32="Interview Completed","Send thank-you and monitor status",IF(B32="Offer Received","Review offer, base and deadline",IF(B32="Accepted","Complete onboarding steps",IF(B32="Rejected","Record reapply date and continue","Update tracker"))))))))))</x:f>
        <x:v>Review requirements and apply</x:v>
      </x:c>
      <x:c r="S32" s="112" t="str">
        <x:v>Copa Airlines passenger-service assignment. Apply only if professionally fluent in both English and Spanish.</x:v>
      </x:c>
      <x:c r="T32" s="112" t="str">
        <x:v>Flight Attendant Resume - Highlighted</x:v>
      </x:c>
      <x:c r="U32" s="112" t="str"/>
      <x:c r="V32" s="115" t="str">
        <x:v>https://recruiting2.ultipro.com/MEN1002MENZI/JobBoard/c62dfe4d-64ad-4642-8cd0-17a30715a697/OpportunityDetail?opportunityId=e933e4bf-7caa-4595-8d5c-69c531c2b8d2&amp;postingId=a93dae80-71d7-4408-8ea2-5d904e4a4a0c</x:v>
      </x:c>
    </x:row>
    <x:row r="33" ht="58" customHeight="1">
      <x:c r="A33" s="112" t="str">
        <x:v>☐</x:v>
      </x:c>
      <x:c r="B33" s="112" t="str">
        <x:v>Not Started</x:v>
      </x:c>
      <x:c r="C33" s="112" t="str">
        <x:v>Medium</x:v>
      </x:c>
      <x:c r="D33" s="112" t="str">
        <x:v>1 - Tampa Bay</x:v>
      </x:c>
      <x:c r="E33" s="112" t="str">
        <x:v>Major/Low-Cost Airline</x:v>
      </x:c>
      <x:c r="F33" s="112" t="str">
        <x:v>Allegiant Air</x:v>
      </x:c>
      <x:c r="G33" s="112" t="str">
        <x:v>Commissary Agent</x:v>
      </x:c>
      <x:c r="H33" s="112" t="str">
        <x:v>Airline Cabin Support</x:v>
      </x:c>
      <x:c r="I33" s="112" t="str">
        <x:v>Clearwater, FL</x:v>
      </x:c>
      <x:c r="J33" s="112" t="str">
        <x:v>Part-time</x:v>
      </x:c>
      <x:c r="K33" s="112" t="str">
        <x:v>See official posting</x:v>
      </x:c>
      <x:c r="L33" s="112" t="str">
        <x:v>Open - verified</x:v>
      </x:c>
      <x:c r="M33" s="113" t="n">
        <x:v>46226</x:v>
      </x:c>
      <x:c r="N33" s="113"/>
      <x:c r="O33" s="113" t="str">
        <x:f>IF(OR(N33="",B33="Accepted",B33="Rejected",B33="Withdrawn",B33="Closed / Expired"),"",N33+7)</x:f>
      </x:c>
      <x:c r="P33" s="113"/>
      <x:c r="Q33" s="114" t="str">
        <x:f>IF(N33="","",TODAY()-N33)</x:f>
      </x:c>
      <x:c r="R33" s="112" t="str">
        <x:f>IF(B33="Not Started","Review requirements and apply",IF(B33="Preparing","Finish application materials",IF(B33="Applied","Check email and candidate portal",IF(B33="Assessment","Complete assessment before deadline",IF(B33="Pending / In Review","Monitor portal and follow up",IF(B33="Interview Scheduled","Prepare STAR stories and interview setup",IF(B33="Interview Completed","Send thank-you and monitor status",IF(B33="Offer Received","Review offer, base and deadline",IF(B33="Accepted","Complete onboarding steps",IF(B33="Rejected","Record reapply date and continue","Update tracker"))))))))))</x:f>
        <x:v>Review requirements and apply</x:v>
      </x:c>
      <x:c r="S33" s="112" t="str">
        <x:v>Official Clearwater station opening. Builds airline experience through aircraft provisioning, organization and safety procedures.</x:v>
      </x:c>
      <x:c r="T33" s="112" t="str">
        <x:v>Flight Attendant Resume - Highlighted</x:v>
      </x:c>
      <x:c r="U33" s="112" t="str"/>
      <x:c r="V33" s="115" t="str">
        <x:v>https://jobs.lever.co/allegiantair?location=Clearwater%2C+FL</x:v>
      </x:c>
    </x:row>
    <x:row r="34" ht="58" customHeight="1">
      <x:c r="A34" s="112" t="str">
        <x:v>☐</x:v>
      </x:c>
      <x:c r="B34" s="112" t="str">
        <x:v>Not Started</x:v>
      </x:c>
      <x:c r="C34" s="112" t="str">
        <x:v>Medium</x:v>
      </x:c>
      <x:c r="D34" s="112" t="str">
        <x:v>2 - Orlando</x:v>
      </x:c>
      <x:c r="E34" s="112" t="str">
        <x:v>Aviation Services</x:v>
      </x:c>
      <x:c r="F34" s="112" t="str">
        <x:v>Swissport</x:v>
      </x:c>
      <x:c r="G34" s="112" t="str">
        <x:v>Passenger Service Agent — English/French</x:v>
      </x:c>
      <x:c r="H34" s="112" t="str">
        <x:v>Airport Passenger Service</x:v>
      </x:c>
      <x:c r="I34" s="112" t="str">
        <x:v>Orlando, FL (MCO)</x:v>
      </x:c>
      <x:c r="J34" s="112" t="str">
        <x:v>Permanent part-time</x:v>
      </x:c>
      <x:c r="K34" s="112" t="str">
        <x:v>$16.50 / hour</x:v>
      </x:c>
      <x:c r="L34" s="112" t="str">
        <x:v>Open - verified</x:v>
      </x:c>
      <x:c r="M34" s="113" t="n">
        <x:v>46226</x:v>
      </x:c>
      <x:c r="N34" s="113"/>
      <x:c r="O34" s="113" t="str">
        <x:f>IF(OR(N34="",B34="Accepted",B34="Rejected",B34="Withdrawn",B34="Closed / Expired"),"",N34+7)</x:f>
      </x:c>
      <x:c r="P34" s="113"/>
      <x:c r="Q34" s="114" t="str">
        <x:f>IF(N34="","",TODAY()-N34)</x:f>
      </x:c>
      <x:c r="R34" s="112" t="str">
        <x:f>IF(B34="Not Started","Review requirements and apply",IF(B34="Preparing","Finish application materials",IF(B34="Applied","Check email and candidate portal",IF(B34="Assessment","Complete assessment before deadline",IF(B34="Pending / In Review","Monitor portal and follow up",IF(B34="Interview Scheduled","Prepare STAR stories and interview setup",IF(B34="Interview Completed","Send thank-you and monitor status",IF(B34="Offer Received","Review offer, base and deadline",IF(B34="Accepted","Complete onboarding steps",IF(B34="Rejected","Record reapply date and continue","Update tracker"))))))))))</x:f>
        <x:v>Review requirements and apply</x:v>
      </x:c>
      <x:c r="S34" s="112" t="str">
        <x:v>Check-in, ticketing, baggage, gate announcements and special-assistance duties. Apply only if fluent in English and French; posting also mentions Spanish.</x:v>
      </x:c>
      <x:c r="T34" s="112" t="str">
        <x:v>Flight Attendant Resume - Highlighted</x:v>
      </x:c>
      <x:c r="U34" s="112" t="str"/>
      <x:c r="V34" s="115" t="str">
        <x:v>https://careers.swissport.com/jobs/7939?lang=en-us</x:v>
      </x:c>
    </x:row>
    <x:row r="35" ht="58" customHeight="1">
      <x:c r="A35" s="112" t="str">
        <x:v>☐</x:v>
      </x:c>
      <x:c r="B35" s="112" t="str">
        <x:v>Not Started</x:v>
      </x:c>
      <x:c r="C35" s="112" t="str">
        <x:v>Medium</x:v>
      </x:c>
      <x:c r="D35" s="112" t="str">
        <x:v>3 - Other Florida</x:v>
      </x:c>
      <x:c r="E35" s="112" t="str">
        <x:v>Low-Cost Airline</x:v>
      </x:c>
      <x:c r="F35" s="112" t="str">
        <x:v>Avelo Airlines</x:v>
      </x:c>
      <x:c r="G35" s="112" t="str">
        <x:v>Airport Crewmember - PT</x:v>
      </x:c>
      <x:c r="H35" s="112" t="str">
        <x:v>Airport Customer Service / Ramp</x:v>
      </x:c>
      <x:c r="I35" s="112" t="str">
        <x:v>Lakeland, FL</x:v>
      </x:c>
      <x:c r="J35" s="112" t="str">
        <x:v>Part-time</x:v>
      </x:c>
      <x:c r="K35" s="112" t="str">
        <x:v>$18.00 / hour</x:v>
      </x:c>
      <x:c r="L35" s="112" t="str">
        <x:v>Open - verified</x:v>
      </x:c>
      <x:c r="M35" s="113" t="n">
        <x:v>46226</x:v>
      </x:c>
      <x:c r="N35" s="113"/>
      <x:c r="O35" s="113" t="str">
        <x:f>IF(OR(N35="",B35="Accepted",B35="Rejected",B35="Withdrawn",B35="Closed / Expired"),"",N35+7)</x:f>
      </x:c>
      <x:c r="P35" s="113"/>
      <x:c r="Q35" s="114" t="str">
        <x:f>IF(N35="","",TODAY()-N35)</x:f>
      </x:c>
      <x:c r="R35" s="112" t="str">
        <x:f>IF(B35="Not Started","Review requirements and apply",IF(B35="Preparing","Finish application materials",IF(B35="Applied","Check email and candidate portal",IF(B35="Assessment","Complete assessment before deadline",IF(B35="Pending / In Review","Monitor portal and follow up",IF(B35="Interview Scheduled","Prepare STAR stories and interview setup",IF(B35="Interview Completed","Send thank-you and monitor status",IF(B35="Offer Received","Review offer, base and deadline",IF(B35="Accepted","Complete onboarding steps",IF(B35="Rejected","Record reapply date and continue","Update tracker"))))))))))</x:f>
        <x:v>Review requirements and apply</x:v>
      </x:c>
      <x:c r="S35" s="112" t="str">
        <x:v>Combined customer-service and ramp role. HS diploma/GED, driver's license, background/drug screening and ability to lift up to 70 lb.</x:v>
      </x:c>
      <x:c r="T35" s="112" t="str">
        <x:v>Flight Attendant Resume - Highlighted</x:v>
      </x:c>
      <x:c r="U35" s="112" t="str"/>
      <x:c r="V35" s="115" t="str">
        <x:v>https://recruiting.paylocity.com/recruiting/jobs/Details/3636532/Avelo-Airlines-Inc/Airport-Crewmember---PT</x:v>
      </x:c>
    </x:row>
    <x:row r="36" ht="58" customHeight="1">
      <x:c r="A36" s="112" t="str">
        <x:v>☐</x:v>
      </x:c>
      <x:c r="B36" s="112" t="str">
        <x:v>Not Started</x:v>
      </x:c>
      <x:c r="C36" s="112" t="str">
        <x:v>Medium</x:v>
      </x:c>
      <x:c r="D36" s="112" t="str">
        <x:v>4 - National / Relocation</x:v>
      </x:c>
      <x:c r="E36" s="112" t="str">
        <x:v>Regional Airline (American)</x:v>
      </x:c>
      <x:c r="F36" s="112" t="str">
        <x:v>Piedmont Airlines</x:v>
      </x:c>
      <x:c r="G36" s="112" t="str">
        <x:v>Flight Attendant</x:v>
      </x:c>
      <x:c r="H36" s="112" t="str">
        <x:v>Flight Attendant</x:v>
      </x:c>
      <x:c r="I36" s="112" t="str">
        <x:v>Bases: Charlotte, Philadelphia, Harrisburg</x:v>
      </x:c>
      <x:c r="J36" s="112" t="str">
        <x:v>Full-time</x:v>
      </x:c>
      <x:c r="K36" s="112" t="str">
        <x:v>$28.08 / flight hour + $2.00 per diem</x:v>
      </x:c>
      <x:c r="L36" s="112" t="str">
        <x:v>Recruiting - check openings</x:v>
      </x:c>
      <x:c r="M36" s="113" t="n">
        <x:v>46226</x:v>
      </x:c>
      <x:c r="N36" s="113"/>
      <x:c r="O36" s="113" t="str">
        <x:f>IF(OR(N36="",B36="Accepted",B36="Rejected",B36="Withdrawn",B36="Closed / Expired"),"",N36+7)</x:f>
      </x:c>
      <x:c r="P36" s="113"/>
      <x:c r="Q36" s="114" t="str">
        <x:f>IF(N36="","",TODAY()-N36)</x:f>
      </x:c>
      <x:c r="R36" s="112" t="str">
        <x:f>IF(B36="Not Started","Review requirements and apply",IF(B36="Preparing","Finish application materials",IF(B36="Applied","Check email and candidate portal",IF(B36="Assessment","Complete assessment before deadline",IF(B36="Pending / In Review","Monitor portal and follow up",IF(B36="Interview Scheduled","Prepare STAR stories and interview setup",IF(B36="Interview Completed","Send thank-you and monitor status",IF(B36="Offer Received","Review offer, base and deadline",IF(B36="Accepted","Complete onboarding steps",IF(B36="Rejected","Record reapply date and continue","Update tracker"))))))))))</x:f>
        <x:v>Review requirements and apply</x:v>
      </x:c>
      <x:c r="S36" s="112" t="str">
        <x:v>Age 21+; HS diploma/GED; passport and driver's license. Two years customer service preferred. Official page links to current Workday openings.</x:v>
      </x:c>
      <x:c r="T36" s="112" t="str">
        <x:v>Flight Attendant Resume - Highlighted</x:v>
      </x:c>
      <x:c r="U36" s="112" t="str"/>
      <x:c r="V36" s="115" t="str">
        <x:v>https://piedmont-airlines.com/flight-attendant/</x:v>
      </x:c>
    </x:row>
    <x:row r="37" ht="58" customHeight="1">
      <x:c r="A37" s="112" t="str">
        <x:v>☐</x:v>
      </x:c>
      <x:c r="B37" s="112" t="str">
        <x:v>Not Started</x:v>
      </x:c>
      <x:c r="C37" s="112" t="str">
        <x:v>Low</x:v>
      </x:c>
      <x:c r="D37" s="112" t="str">
        <x:v>4 - National / Relocation</x:v>
      </x:c>
      <x:c r="E37" s="112" t="str">
        <x:v>Regional Airline</x:v>
      </x:c>
      <x:c r="F37" s="112" t="str">
        <x:v>Republic Airways</x:v>
      </x:c>
      <x:c r="G37" s="112" t="str">
        <x:v>Flight Attendant</x:v>
      </x:c>
      <x:c r="H37" s="112" t="str">
        <x:v>Flight Attendant</x:v>
      </x:c>
      <x:c r="I37" s="112" t="str">
        <x:v>Multiple U.S. crew bases</x:v>
      </x:c>
      <x:c r="J37" s="112" t="str">
        <x:v>Full-time</x:v>
      </x:c>
      <x:c r="K37" s="112" t="str">
        <x:v>Starting above $27 / flight hour; 75-hour guarantee</x:v>
      </x:c>
      <x:c r="L37" s="112" t="str">
        <x:v>Talent community / monitor</x:v>
      </x:c>
      <x:c r="M37" s="113" t="n">
        <x:v>46226</x:v>
      </x:c>
      <x:c r="N37" s="113"/>
      <x:c r="O37" s="113" t="str">
        <x:f>IF(OR(N37="",B37="Accepted",B37="Rejected",B37="Withdrawn",B37="Closed / Expired"),"",N37+7)</x:f>
      </x:c>
      <x:c r="P37" s="113"/>
      <x:c r="Q37" s="114" t="str">
        <x:f>IF(N37="","",TODAY()-N37)</x:f>
      </x:c>
      <x:c r="R37" s="112" t="str">
        <x:f>IF(B37="Not Started","Review requirements and apply",IF(B37="Preparing","Finish application materials",IF(B37="Applied","Check email and candidate portal",IF(B37="Assessment","Complete assessment before deadline",IF(B37="Pending / In Review","Monitor portal and follow up",IF(B37="Interview Scheduled","Prepare STAR stories and interview setup",IF(B37="Interview Completed","Send thank-you and monitor status",IF(B37="Offer Received","Review offer, base and deadline",IF(B37="Accepted","Complete onboarding steps",IF(B37="Rejected","Record reapply date and continue","Update tracker"))))))))))</x:f>
        <x:v>Review requirements and apply</x:v>
      </x:c>
      <x:c r="S37" s="112" t="str">
        <x:v>Paid 19-day training with hotel and transportation. No live flight-attendant requisition was visible in the current job search, so monitor or join the talent community.</x:v>
      </x:c>
      <x:c r="T37" s="112" t="str">
        <x:v>Flight Attendant Resume - Highlighted</x:v>
      </x:c>
      <x:c r="U37" s="112" t="str"/>
      <x:c r="V37" s="115" t="str">
        <x:v>https://careers.rjet.com/airline-careers/flight-attendant/</x:v>
      </x:c>
    </x:row>
    <x:row r="38" ht="58" customHeight="1">
      <x:c r="A38" s="112" t="str">
        <x:v>☐</x:v>
      </x:c>
      <x:c r="B38" s="112" t="str">
        <x:v>Not Started</x:v>
      </x:c>
      <x:c r="C38" s="112" t="str">
        <x:v>Medium</x:v>
      </x:c>
      <x:c r="D38" s="112" t="str">
        <x:v>4 - National / Relocation</x:v>
      </x:c>
      <x:c r="E38" s="112" t="str">
        <x:v>Leisure Airline</x:v>
      </x:c>
      <x:c r="F38" s="112" t="str">
        <x:v>Sun Country Airlines</x:v>
      </x:c>
      <x:c r="G38" s="112" t="str">
        <x:v>Flight Attendant</x:v>
      </x:c>
      <x:c r="H38" s="112" t="str">
        <x:v>Flight Attendant</x:v>
      </x:c>
      <x:c r="I38" s="112" t="str">
        <x:v>Bases: Minneapolis, Laughlin, Las Vegas, Gulfport</x:v>
      </x:c>
      <x:c r="J38" s="112" t="str">
        <x:v>Full-time</x:v>
      </x:c>
      <x:c r="K38" s="112" t="str">
        <x:v>See official posting</x:v>
      </x:c>
      <x:c r="L38" s="112" t="str">
        <x:v>Recruiting - check desired base</x:v>
      </x:c>
      <x:c r="M38" s="113" t="n">
        <x:v>46226</x:v>
      </x:c>
      <x:c r="N38" s="113"/>
      <x:c r="O38" s="113" t="str">
        <x:f>IF(OR(N38="",B38="Accepted",B38="Rejected",B38="Withdrawn",B38="Closed / Expired"),"",N38+7)</x:f>
      </x:c>
      <x:c r="P38" s="113"/>
      <x:c r="Q38" s="114" t="str">
        <x:f>IF(N38="","",TODAY()-N38)</x:f>
      </x:c>
      <x:c r="R38" s="112" t="str">
        <x:f>IF(B38="Not Started","Review requirements and apply",IF(B38="Preparing","Finish application materials",IF(B38="Applied","Check email and candidate portal",IF(B38="Assessment","Complete assessment before deadline",IF(B38="Pending / In Review","Monitor portal and follow up",IF(B38="Interview Scheduled","Prepare STAR stories and interview setup",IF(B38="Interview Completed","Send thank-you and monitor status",IF(B38="Offer Received","Review offer, base and deadline",IF(B38="Accepted","Complete onboarding steps",IF(B38="Rejected","Record reapply date and continue","Update tracker"))))))))))</x:f>
        <x:v>Review requirements and apply</x:v>
      </x:c>
      <x:c r="S38" s="112" t="str">
        <x:v>Age 20+ by end of training; HS diploma; 2 years direct customer service; passport with 6+ months validity. Apply to a specific base when listed.</x:v>
      </x:c>
      <x:c r="T38" s="112" t="str">
        <x:v>Flight Attendant Resume - Highlighted</x:v>
      </x:c>
      <x:c r="U38" s="112" t="str"/>
      <x:c r="V38" s="115" t="str">
        <x:v>https://careers.suncountry.com/flight-attendants</x:v>
      </x:c>
    </x:row>
  </x:sheetData>
  <x:mergeCells>
    <x:mergeCell ref="A1:V1"/>
    <x:mergeCell ref="A2:V2"/>
    <x:mergeCell ref="A3:V3"/>
  </x:mergeCells>
  <x:conditionalFormatting sqref="A5:V30">
    <x:cfRule type="expression" dxfId="0" priority="1">
      <x:formula>$B5="Accepted"</x:formula>
    </x:cfRule>
    <x:cfRule type="expression" dxfId="1" priority="2">
      <x:formula>$B5="Offer Received"</x:formula>
    </x:cfRule>
    <x:cfRule type="expression" dxfId="2" priority="3">
      <x:formula>$B5="Interview Scheduled"</x:formula>
    </x:cfRule>
    <x:cfRule type="expression" dxfId="3" priority="4">
      <x:formula>$B5="Assessment"</x:formula>
    </x:cfRule>
    <x:cfRule type="expression" dxfId="4" priority="5">
      <x:formula>$B5="Pending / In Review"</x:formula>
    </x:cfRule>
    <x:cfRule type="expression" dxfId="5" priority="6">
      <x:formula>$B5="Rejected"</x:formula>
    </x:cfRule>
    <x:cfRule type="expression" dxfId="6" priority="7">
      <x:formula>$B5="Closed / Expired"</x:formula>
    </x:cfRule>
  </x:conditionalFormatting>
  <x:conditionalFormatting sqref="C5:C30">
    <x:cfRule type="expression" dxfId="7" priority="8">
      <x:formula>C5="High"</x:formula>
    </x:cfRule>
    <x:cfRule type="expression" dxfId="8" priority="9">
      <x:formula>C5="Medium"</x:formula>
    </x:cfRule>
    <x:cfRule type="expression" dxfId="9" priority="10">
      <x:formula>C5="Low"</x:formula>
    </x:cfRule>
  </x:conditionalFormatting>
  <x:conditionalFormatting sqref="A5:A30">
    <x:cfRule type="expression" dxfId="10" priority="11">
      <x:formula>A5="☑"</x:formula>
    </x:cfRule>
  </x:conditionalFormatting>
  <x:conditionalFormatting sqref="A31:V38">
    <x:cfRule type="expression" dxfId="15" priority="12">
      <x:formula>$B31="Accepted"</x:formula>
    </x:cfRule>
    <x:cfRule type="expression" dxfId="16" priority="13">
      <x:formula>$B31="Offer Received"</x:formula>
    </x:cfRule>
    <x:cfRule type="expression" dxfId="17" priority="14">
      <x:formula>$B31="Interview Scheduled"</x:formula>
    </x:cfRule>
    <x:cfRule type="expression" dxfId="18" priority="15">
      <x:formula>$B31="Assessment"</x:formula>
    </x:cfRule>
    <x:cfRule type="expression" dxfId="19" priority="16">
      <x:formula>$B31="Pending / In Review"</x:formula>
    </x:cfRule>
    <x:cfRule type="expression" dxfId="20" priority="17">
      <x:formula>$B31="Rejected"</x:formula>
    </x:cfRule>
    <x:cfRule type="expression" dxfId="21" priority="18">
      <x:formula>$B31="Closed / Expired"</x:formula>
    </x:cfRule>
  </x:conditionalFormatting>
  <x:conditionalFormatting sqref="C31:C38">
    <x:cfRule type="expression" dxfId="22" priority="19">
      <x:formula>C31="High"</x:formula>
    </x:cfRule>
    <x:cfRule type="expression" dxfId="23" priority="20">
      <x:formula>C31="Medium"</x:formula>
    </x:cfRule>
    <x:cfRule type="expression" dxfId="24" priority="21">
      <x:formula>C31="Low"</x:formula>
    </x:cfRule>
  </x:conditionalFormatting>
  <x:conditionalFormatting sqref="A31:A38">
    <x:cfRule type="expression" dxfId="25" priority="22">
      <x:formula>A31="☑"</x:formula>
    </x:cfRule>
  </x:conditionalFormatting>
  <x:dataValidations count="6">
    <x:dataValidation type="list" sqref="A5:A30">
      <x:formula1>"☐,☑"</x:formula1>
    </x:dataValidation>
    <x:dataValidation type="list" sqref="B5:B30">
      <x:formula1>"Not Started,Preparing,Applied,Assessment,Pending / In Review,Interview Scheduled,Interview Completed,Offer Received,Accepted,Rejected,Withdrawn,Closed / Expired"</x:formula1>
    </x:dataValidation>
    <x:dataValidation type="list" sqref="C5:C30">
      <x:formula1>"High,Medium,Low"</x:formula1>
    </x:dataValidation>
    <x:dataValidation type="list" sqref="A31:A38">
      <x:formula1>"☐,☑"</x:formula1>
    </x:dataValidation>
    <x:dataValidation type="list" sqref="B31:B38">
      <x:formula1>"Not Started,Preparing,Applied,Assessment,Pending / In Review,Interview Scheduled,Interview Completed,Offer Received,Accepted,Rejected,Withdrawn,Closed / Expired"</x:formula1>
    </x:dataValidation>
    <x:dataValidation type="list" sqref="C31:C38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fc54320e3043d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6" hidden="0" customWidth="1"/>
    <x:col min="4" max="4" width="30" hidden="0" customWidth="1"/>
    <x:col min="5" max="5" width="13" hidden="0" customWidth="1"/>
    <x:col min="6" max="6" width="30" hidden="0" customWidth="1"/>
    <x:col min="7" max="7" width="58" hidden="0" customWidth="1"/>
    <x:col min="8" max="8" width="48" hidden="0" customWidth="1"/>
  </x:cols>
  <x:sheetData>
    <x:row r="1" ht="30" customHeight="1">
      <x:c r="A1" s="4" t="str">
        <x:v>MAJOR AIRLINE &amp; REGIONAL AIRLINE WATCHLIST</x:v>
      </x:c>
      <x:c r="B1" s="4"/>
      <x:c r="C1" s="4"/>
      <x:c r="D1" s="4"/>
      <x:c r="E1" s="4"/>
      <x:c r="F1" s="4"/>
      <x:c r="G1" s="4"/>
      <x:c r="H1" s="4"/>
    </x:row>
    <x:row r="2">
      <x:c r="A2" s="57" t="str">
        <x:v>This sheet includes airlines checked even when no verified flight-attendant opening was available.</x:v>
      </x:c>
      <x:c r="B2" s="57"/>
      <x:c r="C2" s="57"/>
      <x:c r="D2" s="57"/>
      <x:c r="E2" s="57"/>
      <x:c r="F2" s="57"/>
      <x:c r="G2" s="57"/>
      <x:c r="H2" s="57"/>
    </x:row>
    <x:row r="4" ht="34" customHeight="1">
      <x:c r="A4" s="63" t="str">
        <x:v>Company</x:v>
      </x:c>
      <x:c r="B4" s="63" t="str">
        <x:v>Tier</x:v>
      </x:c>
      <x:c r="C4" s="63" t="str">
        <x:v>Current FA Status</x:v>
      </x:c>
      <x:c r="D4" s="63" t="str">
        <x:v>Florida Relevance</x:v>
      </x:c>
      <x:c r="E4" s="63" t="str">
        <x:v>Last Checked</x:v>
      </x:c>
      <x:c r="F4" s="63" t="str">
        <x:v>Recommended Action</x:v>
      </x:c>
      <x:c r="G4" s="63" t="str">
        <x:v>Official Careers Page</x:v>
      </x:c>
      <x:c r="H4" s="63" t="str">
        <x:v>Notes</x:v>
      </x:c>
    </x:row>
    <x:row r="5" ht="46" customHeight="1">
      <x:c r="A5" s="40" t="str">
        <x:v>Delta Air Lines</x:v>
      </x:c>
      <x:c r="B5" s="40" t="str">
        <x:v>Major</x:v>
      </x:c>
      <x:c r="C5" s="40" t="str">
        <x:v>Open now</x:v>
      </x:c>
      <x:c r="D5" s="40" t="str">
        <x:v>National; base assigned</x:v>
      </x:c>
      <x:c r="E5" s="44" t="n">
        <x:v>46226</x:v>
      </x:c>
      <x:c r="F5" s="40" t="str">
        <x:v>Apply now</x:v>
      </x:c>
      <x:c r="G5" s="48" t="str">
        <x:v>https://www.delta.com/us/en/careers/flight-attendant-careers</x:v>
      </x:c>
      <x:c r="H5" s="40" t="str">
        <x:v>2027 training classes accepting applications; application can close when enough candidates apply.</x:v>
      </x:c>
    </x:row>
    <x:row r="6" ht="46" customHeight="1">
      <x:c r="A6" s="40" t="str">
        <x:v>American Airlines</x:v>
      </x:c>
      <x:c r="B6" s="40" t="str">
        <x:v>Major</x:v>
      </x:c>
      <x:c r="C6" s="40" t="str">
        <x:v>No verified open trainee posting</x:v>
      </x:c>
      <x:c r="D6" s="40" t="str">
        <x:v>Serves Tampa/Orlando/Miami</x:v>
      </x:c>
      <x:c r="E6" s="44" t="n">
        <x:v>46226</x:v>
      </x:c>
      <x:c r="F6" s="40" t="str">
        <x:v>Monitor official page</x:v>
      </x:c>
      <x:c r="G6" s="48" t="str">
        <x:v>https://jobs.aa.com/go/Flight-Attendants/2537300/</x:v>
      </x:c>
      <x:c r="H6" s="40" t="str">
        <x:v>Use only a new Flight Attendant Trainee posting when listed.</x:v>
      </x:c>
    </x:row>
    <x:row r="7" ht="46" customHeight="1">
      <x:c r="A7" s="40" t="str">
        <x:v>United Airlines</x:v>
      </x:c>
      <x:c r="B7" s="40" t="str">
        <x:v>Major</x:v>
      </x:c>
      <x:c r="C7" s="40" t="str">
        <x:v>No verified standard opening</x:v>
      </x:c>
      <x:c r="D7" s="40" t="str">
        <x:v>No Florida FA base listed</x:v>
      </x:c>
      <x:c r="E7" s="44" t="n">
        <x:v>46226</x:v>
      </x:c>
      <x:c r="F7" s="40" t="str">
        <x:v>Monitor official page</x:v>
      </x:c>
      <x:c r="G7" s="48" t="str">
        <x:v>https://careers.united.com/us/en/c/flight-attendant-jobs</x:v>
      </x:c>
      <x:c r="H7" s="40" t="str">
        <x:v>Standard 2026 posting is no longer accepting applications; language-qualified roles may appear.</x:v>
      </x:c>
    </x:row>
    <x:row r="8" ht="46" customHeight="1">
      <x:c r="A8" s="40" t="str">
        <x:v>Southwest Airlines</x:v>
      </x:c>
      <x:c r="B8" s="40" t="str">
        <x:v>Major</x:v>
      </x:c>
      <x:c r="C8" s="40" t="str">
        <x:v>No verified open posting</x:v>
      </x:c>
      <x:c r="D8" s="40" t="str">
        <x:v>Orlando is a crew base</x:v>
      </x:c>
      <x:c r="E8" s="44" t="n">
        <x:v>46226</x:v>
      </x:c>
      <x:c r="F8" s="40" t="str">
        <x:v>Join talent community and monitor</x:v>
      </x:c>
      <x:c r="G8" s="48" t="str">
        <x:v>https://careers.southwestair.com/us/en/flight-attendants?form=MG0AV3</x:v>
      </x:c>
      <x:c r="H8" s="40" t="str">
        <x:v>Applications are accepted only during an open hiring window.</x:v>
      </x:c>
    </x:row>
    <x:row r="9" ht="46" customHeight="1">
      <x:c r="A9" s="40" t="str">
        <x:v>JetBlue</x:v>
      </x:c>
      <x:c r="B9" s="40" t="str">
        <x:v>Major</x:v>
      </x:c>
      <x:c r="C9" s="40" t="str">
        <x:v>Open - Orlando</x:v>
      </x:c>
      <x:c r="D9" s="40" t="str">
        <x:v>Strong Florida relevance</x:v>
      </x:c>
      <x:c r="E9" s="44" t="n">
        <x:v>46226</x:v>
      </x:c>
      <x:c r="F9" s="40" t="str">
        <x:v>Apply to Orlando trainee</x:v>
      </x:c>
      <x:c r="G9" s="48" t="str">
        <x:v>https://careers.jetblue.com/job/Orlando-Inflight-Crew-Trainee-FL-32827/1409071000/</x:v>
      </x:c>
      <x:c r="H9" s="40" t="str">
        <x:v>Top major-airline Florida match.</x:v>
      </x:c>
    </x:row>
    <x:row r="10" ht="46" customHeight="1">
      <x:c r="A10" s="40" t="str">
        <x:v>Alaska Airlines</x:v>
      </x:c>
      <x:c r="B10" s="40" t="str">
        <x:v>Major</x:v>
      </x:c>
      <x:c r="C10" s="40" t="str">
        <x:v>Talent community only</x:v>
      </x:c>
      <x:c r="D10" s="40" t="str">
        <x:v>Relocation required</x:v>
      </x:c>
      <x:c r="E10" s="44" t="n">
        <x:v>46226</x:v>
      </x:c>
      <x:c r="F10" s="40" t="str">
        <x:v>Join talent community</x:v>
      </x:c>
      <x:c r="G10" s="48" t="str">
        <x:v>https://careers.alaskaair.com/career-opportunities/flight-attendants/</x:v>
      </x:c>
      <x:c r="H10" s="40" t="str">
        <x:v>Official page says applications are accepted only during posted windows.</x:v>
      </x:c>
    </x:row>
    <x:row r="11" ht="46" customHeight="1">
      <x:c r="A11" s="40" t="str">
        <x:v>Hawaiian Airlines</x:v>
      </x:c>
      <x:c r="B11" s="40" t="str">
        <x:v>Major</x:v>
      </x:c>
      <x:c r="C11" s="40" t="str">
        <x:v>Talent community only</x:v>
      </x:c>
      <x:c r="D11" s="40" t="str">
        <x:v>Relocation required</x:v>
      </x:c>
      <x:c r="E11" s="44" t="n">
        <x:v>46226</x:v>
      </x:c>
      <x:c r="F11" s="40" t="str">
        <x:v>Join talent community</x:v>
      </x:c>
      <x:c r="G11" s="48" t="str">
        <x:v>https://careers.alaskaair.com/career-opportunities/flight-attendants/</x:v>
      </x:c>
      <x:c r="H11" s="40" t="str">
        <x:v>Covered on the combined Alaska/Hawaiian/Horizon flight-attendant page.</x:v>
      </x:c>
    </x:row>
    <x:row r="12" ht="46" customHeight="1">
      <x:c r="A12" s="40" t="str">
        <x:v>Horizon Air</x:v>
      </x:c>
      <x:c r="B12" s="40" t="str">
        <x:v>Regional</x:v>
      </x:c>
      <x:c r="C12" s="40" t="str">
        <x:v>Talent community only</x:v>
      </x:c>
      <x:c r="D12" s="40" t="str">
        <x:v>Relocation required</x:v>
      </x:c>
      <x:c r="E12" s="44" t="n">
        <x:v>46226</x:v>
      </x:c>
      <x:c r="F12" s="40" t="str">
        <x:v>Join talent community</x:v>
      </x:c>
      <x:c r="G12" s="48" t="str">
        <x:v>https://careers.alaskaair.com/career-opportunities/flight-attendants/</x:v>
      </x:c>
      <x:c r="H12" s="40" t="str">
        <x:v>Regional pathway with bases mainly in the western U.S.</x:v>
      </x:c>
    </x:row>
    <x:row r="13" ht="46" customHeight="1">
      <x:c r="A13" s="40" t="str">
        <x:v>Frontier Airlines</x:v>
      </x:c>
      <x:c r="B13" s="40" t="str">
        <x:v>Major/Low-Cost</x:v>
      </x:c>
      <x:c r="C13" s="40" t="str">
        <x:v>Open now</x:v>
      </x:c>
      <x:c r="D13" s="40" t="str">
        <x:v>Tampa, Orlando and Miami are listed bases</x:v>
      </x:c>
      <x:c r="E13" s="44" t="n">
        <x:v>46226</x:v>
      </x:c>
      <x:c r="F13" s="40" t="str">
        <x:v>Apply now</x:v>
      </x:c>
      <x:c r="G13" s="48" t="str">
        <x:v>https://www.flyfrontier.com/careers/flight-attendant/</x:v>
      </x:c>
      <x:c r="H13" s="40" t="str">
        <x:v>General application covers multiple possible bases.</x:v>
      </x:c>
    </x:row>
    <x:row r="14" ht="46" customHeight="1">
      <x:c r="A14" s="40" t="str">
        <x:v>Allegiant Air</x:v>
      </x:c>
      <x:c r="B14" s="40" t="str">
        <x:v>Major/Low-Cost</x:v>
      </x:c>
      <x:c r="C14" s="40" t="str">
        <x:v>No verified FA opening; local customer service open</x:v>
      </x:c>
      <x:c r="D14" s="40" t="str">
        <x:v>Clearwater opening</x:v>
      </x:c>
      <x:c r="E14" s="44" t="n">
        <x:v>46226</x:v>
      </x:c>
      <x:c r="F14" s="40" t="str">
        <x:v>Apply to local CSA; monitor FA</x:v>
      </x:c>
      <x:c r="G14" s="48" t="str">
        <x:v>https://jobs.lever.co/allegiantair</x:v>
      </x:c>
      <x:c r="H14" s="40" t="str">
        <x:v>Customer Service Agent is a direct aviation-entry option.</x:v>
      </x:c>
    </x:row>
    <x:row r="15" ht="46" customHeight="1">
      <x:c r="A15" s="40" t="str">
        <x:v>Breeze Airways</x:v>
      </x:c>
      <x:c r="B15" s="40" t="str">
        <x:v>Low-Cost</x:v>
      </x:c>
      <x:c r="C15" s="40" t="str">
        <x:v>Multiple openings</x:v>
      </x:c>
      <x:c r="D15" s="40" t="str">
        <x:v>Tampa, Orlando, Fort Myers, Vero Beach, Fort Lauderdale</x:v>
      </x:c>
      <x:c r="E15" s="44" t="n">
        <x:v>46226</x:v>
      </x:c>
      <x:c r="F15" s="40" t="str">
        <x:v>Choose one base only</x:v>
      </x:c>
      <x:c r="G15" s="48" t="str">
        <x:v>https://job-boards.greenhouse.io/breezeairways?departments%5B%5D=4057632003&amp;keyword=Flight+Attendant</x:v>
      </x:c>
      <x:c r="H15" s="40" t="str">
        <x:v>Only one flight-attendant application every three months.</x:v>
      </x:c>
    </x:row>
    <x:row r="16" ht="46" customHeight="1">
      <x:c r="A16" s="40" t="str">
        <x:v>Avelo Airlines</x:v>
      </x:c>
      <x:c r="B16" s="40" t="str">
        <x:v>Low-Cost</x:v>
      </x:c>
      <x:c r="C16" s="40" t="str">
        <x:v>Open - New Haven</x:v>
      </x:c>
      <x:c r="D16" s="40" t="str">
        <x:v>Relocation required</x:v>
      </x:c>
      <x:c r="E16" s="44" t="n">
        <x:v>46226</x:v>
      </x:c>
      <x:c r="F16" s="40" t="str">
        <x:v>Consider after Florida roles</x:v>
      </x:c>
      <x:c r="G16" s="48" t="str">
        <x:v>https://recruiting.paylocity.com/recruiting/jobs/Details/4280858/Avelo-Airlines-Inc/Flight-Attendant</x:v>
      </x:c>
      <x:c r="H16" s="40" t="str">
        <x:v>Official current New Haven opening.</x:v>
      </x:c>
    </x:row>
    <x:row r="17" ht="46" customHeight="1">
      <x:c r="A17" s="40" t="str">
        <x:v>Envoy Air</x:v>
      </x:c>
      <x:c r="B17" s="40" t="str">
        <x:v>Regional (American)</x:v>
      </x:c>
      <x:c r="C17" s="40" t="str">
        <x:v>Recruiting</x:v>
      </x:c>
      <x:c r="D17" s="40" t="str">
        <x:v>Miami is a domicile</x:v>
      </x:c>
      <x:c r="E17" s="44" t="n">
        <x:v>46226</x:v>
      </x:c>
      <x:c r="F17" s="40" t="str">
        <x:v>Apply / review openings</x:v>
      </x:c>
      <x:c r="G17" s="48" t="str">
        <x:v>https://www.envoyair.com/careers/flight-attendants/</x:v>
      </x:c>
      <x:c r="H17" s="40" t="str">
        <x:v>Strong Florida regional pathway and American Airlines travel privileges.</x:v>
      </x:c>
    </x:row>
    <x:row r="18" ht="46" customHeight="1">
      <x:c r="A18" s="40" t="str">
        <x:v>PSA Airlines</x:v>
      </x:c>
      <x:c r="B18" s="40" t="str">
        <x:v>Regional (American)</x:v>
      </x:c>
      <x:c r="C18" s="40" t="str">
        <x:v>Recruiting</x:v>
      </x:c>
      <x:c r="D18" s="40" t="str">
        <x:v>No Florida base</x:v>
      </x:c>
      <x:c r="E18" s="44" t="n">
        <x:v>46226</x:v>
      </x:c>
      <x:c r="F18" s="40" t="str">
        <x:v>Apply if willing to relocate</x:v>
      </x:c>
      <x:c r="G18" s="48" t="str">
        <x:v>https://psaairlines.com/flight-attendants/</x:v>
      </x:c>
      <x:c r="H18" s="40" t="str">
        <x:v>Bases include Charlotte, Dayton, Washington, Dallas and Philadelphia.</x:v>
      </x:c>
    </x:row>
    <x:row r="19" ht="46" customHeight="1">
      <x:c r="A19" s="40" t="str">
        <x:v>Piedmont Airlines</x:v>
      </x:c>
      <x:c r="B19" s="40" t="str">
        <x:v>Regional (American)</x:v>
      </x:c>
      <x:c r="C19" s="40" t="str">
        <x:v>Official openings page</x:v>
      </x:c>
      <x:c r="D19" s="40" t="str">
        <x:v>Some Florida ground roles; FA bases outside Florida</x:v>
      </x:c>
      <x:c r="E19" s="44" t="n">
        <x:v>46226</x:v>
      </x:c>
      <x:c r="F19" s="40" t="str">
        <x:v>Review current openings</x:v>
      </x:c>
      <x:c r="G19" s="48" t="str">
        <x:v>https://piedmont-airlines.com/flight-attendant/</x:v>
      </x:c>
      <x:c r="H19" s="40" t="str">
        <x:v>Flight attendant bases: Philadelphia, Charlotte and Harrisburg.</x:v>
      </x:c>
    </x:row>
    <x:row r="20" ht="46" customHeight="1">
      <x:c r="A20" s="40" t="str">
        <x:v>Endeavor Air</x:v>
      </x:c>
      <x:c r="B20" s="40" t="str">
        <x:v>Regional (Delta)</x:v>
      </x:c>
      <x:c r="C20" s="40" t="str">
        <x:v>Recruiting</x:v>
      </x:c>
      <x:c r="D20" s="40" t="str">
        <x:v>Atlanta is closest major hub</x:v>
      </x:c>
      <x:c r="E20" s="44" t="n">
        <x:v>46226</x:v>
      </x:c>
      <x:c r="F20" s="40" t="str">
        <x:v>Apply if willing to relocate</x:v>
      </x:c>
      <x:c r="G20" s="48" t="str">
        <x:v>https://www.endeavorair.com/content/endeavor-air/en_us/careers/flight-attendants.html</x:v>
      </x:c>
      <x:c r="H20" s="40" t="str">
        <x:v>Official page says apply today.</x:v>
      </x:c>
    </x:row>
    <x:row r="21" ht="46" customHeight="1">
      <x:c r="A21" s="40" t="str">
        <x:v>SkyWest Airlines</x:v>
      </x:c>
      <x:c r="B21" s="40" t="str">
        <x:v>Regional</x:v>
      </x:c>
      <x:c r="C21" s="40" t="str">
        <x:v>Open now</x:v>
      </x:c>
      <x:c r="D21" s="40" t="str">
        <x:v>Multiple locations; relocation likely</x:v>
      </x:c>
      <x:c r="E21" s="44" t="n">
        <x:v>46226</x:v>
      </x:c>
      <x:c r="F21" s="40" t="str">
        <x:v>Apply now</x:v>
      </x:c>
      <x:c r="G21" s="48" t="str">
        <x:v>https://jobs.skywest.com/skywest-airlines/jobs/16704?lang=en-us</x:v>
      </x:c>
      <x:c r="H21" s="40" t="str">
        <x:v>Current official multi-location posting.</x:v>
      </x:c>
    </x:row>
    <x:row r="22" ht="46" customHeight="1">
      <x:c r="A22" s="40" t="str">
        <x:v>Republic Airways</x:v>
      </x:c>
      <x:c r="B22" s="40" t="str">
        <x:v>Regional</x:v>
      </x:c>
      <x:c r="C22" s="40" t="str">
        <x:v>Career opportunities / events</x:v>
      </x:c>
      <x:c r="D22" s="40" t="str">
        <x:v>No Florida base verified</x:v>
      </x:c>
      <x:c r="E22" s="44" t="n">
        <x:v>46226</x:v>
      </x:c>
      <x:c r="F22" s="40" t="str">
        <x:v>Search current jobs / talent community</x:v>
      </x:c>
      <x:c r="G22" s="48" t="str">
        <x:v>https://careers.rjet.com/airline-careers/flight-attendant/</x:v>
      </x:c>
      <x:c r="H22" s="40" t="str">
        <x:v>Official career page and hiring events; confirm a live requisition before applying.</x:v>
      </x:c>
    </x:row>
    <x:row r="23" ht="46" customHeight="1">
      <x:c r="A23" s="40" t="str">
        <x:v>Contour Airlines</x:v>
      </x:c>
      <x:c r="B23" s="40" t="str">
        <x:v>Regional/Charter</x:v>
      </x:c>
      <x:c r="C23" s="40" t="str">
        <x:v>Multiple openings</x:v>
      </x:c>
      <x:c r="D23" s="40" t="str">
        <x:v>Fort Lauderdale opening</x:v>
      </x:c>
      <x:c r="E23" s="44" t="n">
        <x:v>46226</x:v>
      </x:c>
      <x:c r="F23" s="40" t="str">
        <x:v>Apply to FLL first</x:v>
      </x:c>
      <x:c r="G23" s="48" t="str">
        <x:v>https://www.careers.contourairlines.com/flight-attendant-careers</x:v>
      </x:c>
      <x:c r="H23" s="40" t="str">
        <x:v>Official page lists FLL, Dallas, Phoenix and New York.</x:v>
      </x:c>
    </x:row>
    <x:row r="24" ht="46" customHeight="1">
      <x:c r="A24" s="40" t="str">
        <x:v>GlobalX</x:v>
      </x:c>
      <x:c r="B24" s="40" t="str">
        <x:v>Charter Airline</x:v>
      </x:c>
      <x:c r="C24" s="40" t="str">
        <x:v>No specific verified FA listing</x:v>
      </x:c>
      <x:c r="D24" s="40" t="str">
        <x:v>Miami headquarters</x:v>
      </x:c>
      <x:c r="E24" s="44" t="n">
        <x:v>46226</x:v>
      </x:c>
      <x:c r="F24" s="40" t="str">
        <x:v>Monitor official careers</x:v>
      </x:c>
      <x:c r="G24" s="48" t="str">
        <x:v>https://globalxair.com/careers/</x:v>
      </x:c>
      <x:c r="H24" s="40" t="str">
        <x:v>Official careers page embeds current roles; verify a specific opening before applying.</x:v>
      </x:c>
    </x:row>
    <x:row r="25" ht="46" customHeight="1">
      <x:c r="A25" s="40" t="str">
        <x:v>EAS Charter</x:v>
      </x:c>
      <x:c r="B25" s="40" t="str">
        <x:v>Private/Charter</x:v>
      </x:c>
      <x:c r="C25" s="40" t="str">
        <x:v>Career inquiries accepted</x:v>
      </x:c>
      <x:c r="D25" s="40" t="str">
        <x:v>Miami-Opa Locka</x:v>
      </x:c>
      <x:c r="E25" s="44" t="n">
        <x:v>46226</x:v>
      </x:c>
      <x:c r="F25" s="40" t="str">
        <x:v>Review/contact official careers</x:v>
      </x:c>
      <x:c r="G25" s="48" t="str">
        <x:v>https://eascharter.com/careers/</x:v>
      </x:c>
      <x:c r="H25" s="40" t="str">
        <x:v>Seeks safety-minded, service-oriented professionals; specific openings not clearly listed.</x:v>
      </x:c>
    </x:row>
    <x:row r="26" ht="46" customHeight="1">
      <x:c r="A26" s="40" t="str">
        <x:v>Spirit Airlines</x:v>
      </x:c>
      <x:c r="B26" s="40" t="str">
        <x:v>Inactive</x:v>
      </x:c>
      <x:c r="C26" s="40" t="str">
        <x:v>Do not apply / avoid scams</x:v>
      </x:c>
      <x:c r="D26" s="40" t="str">
        <x:v>Former Florida carrier</x:v>
      </x:c>
      <x:c r="E26" s="44" t="n">
        <x:v>46226</x:v>
      </x:c>
      <x:c r="F26" s="40" t="str">
        <x:v>Remove from active search</x:v>
      </x:c>
      <x:c r="G26" s="48" t="str">
        <x:v>https://www.spiritrestructuring.com/</x:v>
      </x:c>
      <x:c r="H26" s="40" t="str">
        <x:v>Spirit announced its wind-down and ceased operations on May 2, 2026. Treat any new Spirit job advertisement as suspicious.</x:v>
      </x:c>
    </x:row>
    <x:row r="27" ht="46" customHeight="1">
      <x:c r="A27" s="112" t="str">
        <x:v>Sun Country Airlines</x:v>
      </x:c>
      <x:c r="B27" s="112" t="str">
        <x:v>Leisure Airline</x:v>
      </x:c>
      <x:c r="C27" s="112" t="str">
        <x:v>Recruiting / apply by base</x:v>
      </x:c>
      <x:c r="D27" s="112" t="str">
        <x:v>No Florida base; Gulfport is the closest listed base</x:v>
      </x:c>
      <x:c r="E27" s="113" t="n">
        <x:v>46226</x:v>
      </x:c>
      <x:c r="F27" s="112" t="str">
        <x:v>Review base-specific openings</x:v>
      </x:c>
      <x:c r="G27" s="115" t="str">
        <x:v>https://careers.suncountry.com/flight-attendants</x:v>
      </x:c>
      <x:c r="H27" s="112" t="str">
        <x:v>Requires 2 years of direct customer service; official page lists MSP, IFP, LAS and GPT bases.</x:v>
      </x:c>
    </x:row>
  </x:sheetData>
  <x:mergeCells>
    <x:mergeCell ref="A1:H1"/>
    <x:mergeCell ref="A2:H2"/>
  </x:mergeCells>
  <x:conditionalFormatting sqref="A5:H26">
    <x:cfRule type="expression" dxfId="11" priority="1">
      <x:formula>ISNUMBER(SEARCH("Open", $C5))</x:formula>
    </x:cfRule>
    <x:cfRule type="expression" dxfId="12" priority="2">
      <x:formula>ISNUMBER(SEARCH("No verified", $C5))</x:formula>
    </x:cfRule>
    <x:cfRule type="expression" dxfId="13" priority="3">
      <x:formula>$B5="Inactive"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9e0603e504c4ee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0" hidden="0" customWidth="1"/>
    <x:col min="3" max="3" width="22" hidden="0" customWidth="1"/>
    <x:col min="4" max="4" width="58" hidden="0" customWidth="1"/>
    <x:col min="5" max="5" width="16" hidden="0" customWidth="1"/>
  </x:cols>
  <x:sheetData>
    <x:row r="1" ht="30" customHeight="1">
      <x:c r="A1" s="4" t="str">
        <x:v>FLIGHT ATTENDANT APPLICATION CHECKLIST</x:v>
      </x:c>
      <x:c r="B1" s="4"/>
      <x:c r="C1" s="4"/>
      <x:c r="D1" s="4"/>
      <x:c r="E1" s="4"/>
    </x:row>
    <x:row r="2">
      <x:c r="A2" s="57" t="str">
        <x:v>Complete these items once, then reuse them for each airline application.</x:v>
      </x:c>
      <x:c r="B2" s="57"/>
      <x:c r="C2" s="57"/>
      <x:c r="D2" s="57"/>
      <x:c r="E2" s="57"/>
    </x:row>
    <x:row r="4" ht="30" customHeight="1">
      <x:c r="A4" s="100" t="str">
        <x:v>Task</x:v>
      </x:c>
      <x:c r="B4" s="100" t="str">
        <x:v>Done?</x:v>
      </x:c>
      <x:c r="C4" s="100" t="str">
        <x:v>Category</x:v>
      </x:c>
      <x:c r="D4" s="100" t="str">
        <x:v>Notes</x:v>
      </x:c>
      <x:c r="E4" s="100" t="str">
        <x:v>Date Completed</x:v>
      </x:c>
    </x:row>
    <x:row r="5" ht="40" customHeight="1">
      <x:c r="A5" s="104" t="str">
        <x:v>Confirm minimum age for each airline</x:v>
      </x:c>
      <x:c r="B5" s="104" t="str">
        <x:v>☐</x:v>
      </x:c>
      <x:c r="C5" s="104" t="str">
        <x:v>Eligibility</x:v>
      </x:c>
      <x:c r="D5" s="104" t="str">
        <x:v>Most major postings require age 20 or 21.</x:v>
      </x:c>
      <x:c r="E5" s="108"/>
    </x:row>
    <x:row r="6" ht="40" customHeight="1">
      <x:c r="A6" s="104" t="str">
        <x:v>Confirm passport book is valid</x:v>
      </x:c>
      <x:c r="B6" s="104" t="str">
        <x:v>☐</x:v>
      </x:c>
      <x:c r="C6" s="104" t="str">
        <x:v>Eligibility</x:v>
      </x:c>
      <x:c r="D6" s="104" t="str">
        <x:v>Requirements vary: Breeze 6+ months, JetBlue 12+, Frontier 14+, Delta 30 months by training.</x:v>
      </x:c>
      <x:c r="E6" s="108"/>
    </x:row>
    <x:row r="7" ht="40" customHeight="1">
      <x:c r="A7" s="104" t="str">
        <x:v>Confirm legal authorization to work in the U.S.</x:v>
      </x:c>
      <x:c r="B7" s="104" t="str">
        <x:v>☐</x:v>
      </x:c>
      <x:c r="C7" s="104" t="str">
        <x:v>Eligibility</x:v>
      </x:c>
      <x:c r="D7" s="104" t="str">
        <x:v>Most airline roles do not sponsor entry-level cabin crew.</x:v>
      </x:c>
      <x:c r="E7" s="108"/>
    </x:row>
    <x:row r="8" ht="40" customHeight="1">
      <x:c r="A8" s="104" t="str">
        <x:v>Check reach, jumpseat and lifting requirements</x:v>
      </x:c>
      <x:c r="B8" s="104" t="str">
        <x:v>☐</x:v>
      </x:c>
      <x:c r="C8" s="104" t="str">
        <x:v>Eligibility</x:v>
      </x:c>
      <x:c r="D8" s="104" t="str">
        <x:v>Review each airline's exact physical requirements before applying.</x:v>
      </x:c>
      <x:c r="E8" s="108"/>
    </x:row>
    <x:row r="9" ht="40" customHeight="1">
      <x:c r="A9" s="104" t="str">
        <x:v>Review tattoo, piercing and grooming policy</x:v>
      </x:c>
      <x:c r="B9" s="104" t="str">
        <x:v>☐</x:v>
      </x:c>
      <x:c r="C9" s="104" t="str">
        <x:v>Eligibility</x:v>
      </x:c>
      <x:c r="D9" s="104" t="str">
        <x:v>Policies differ by airline and are checked during interviews/training.</x:v>
      </x:c>
      <x:c r="E9" s="108"/>
    </x:row>
    <x:row r="10" ht="40" customHeight="1">
      <x:c r="A10" s="104" t="str">
        <x:v>Create a professional voicemail greeting</x:v>
      </x:c>
      <x:c r="B10" s="104" t="str">
        <x:v>☐</x:v>
      </x:c>
      <x:c r="C10" s="104" t="str">
        <x:v>Contact Setup</x:v>
      </x:c>
      <x:c r="D10" s="104" t="str">
        <x:v>Recruiters may call from unfamiliar numbers.</x:v>
      </x:c>
      <x:c r="E10" s="108"/>
    </x:row>
    <x:row r="11" ht="40" customHeight="1">
      <x:c r="A11" s="104" t="str">
        <x:v>Use a professional email address</x:v>
      </x:c>
      <x:c r="B11" s="104" t="str">
        <x:v>☐</x:v>
      </x:c>
      <x:c r="C11" s="104" t="str">
        <x:v>Contact Setup</x:v>
      </x:c>
      <x:c r="D11" s="104" t="str">
        <x:v>Check inbox and spam folders daily after applying.</x:v>
      </x:c>
      <x:c r="E11" s="108"/>
    </x:row>
    <x:row r="12" ht="40" customHeight="1">
      <x:c r="A12" s="104" t="str">
        <x:v>Save resume as both PDF and DOCX</x:v>
      </x:c>
      <x:c r="B12" s="104" t="str">
        <x:v>☐</x:v>
      </x:c>
      <x:c r="C12" s="104" t="str">
        <x:v>Documents</x:v>
      </x:c>
      <x:c r="D12" s="104" t="str">
        <x:v>Use the highlighted flight-attendant resume; upload PDF unless the portal requests DOCX.</x:v>
      </x:c>
      <x:c r="E12" s="108"/>
    </x:row>
    <x:row r="13" ht="40" customHeight="1">
      <x:c r="A13" s="104" t="str">
        <x:v>Verify employment dates and job titles</x:v>
      </x:c>
      <x:c r="B13" s="104" t="str">
        <x:v>☐</x:v>
      </x:c>
      <x:c r="C13" s="104" t="str">
        <x:v>Documents</x:v>
      </x:c>
      <x:c r="D13" s="104" t="str">
        <x:v>Application and resume dates must match exactly.</x:v>
      </x:c>
      <x:c r="E13" s="108"/>
    </x:row>
    <x:row r="14" ht="40" customHeight="1">
      <x:c r="A14" s="104" t="str">
        <x:v>Prepare one professional reference</x:v>
      </x:c>
      <x:c r="B14" s="104" t="str">
        <x:v>☐</x:v>
      </x:c>
      <x:c r="C14" s="104" t="str">
        <x:v>Documents</x:v>
      </x:c>
      <x:c r="D14" s="104" t="str">
        <x:v>Include name, title, company, relationship, phone and email.</x:v>
      </x:c>
      <x:c r="E14" s="108"/>
    </x:row>
    <x:row r="15" ht="40" customHeight="1">
      <x:c r="A15" s="104" t="str">
        <x:v>Prepare a complete work-history list</x:v>
      </x:c>
      <x:c r="B15" s="104" t="str">
        <x:v>☐</x:v>
      </x:c>
      <x:c r="C15" s="104" t="str">
        <x:v>Documents</x:v>
      </x:c>
      <x:c r="D15" s="104" t="str">
        <x:v>Include employment gaps if the application asks for them.</x:v>
      </x:c>
      <x:c r="E15" s="108"/>
    </x:row>
    <x:row r="16" ht="40" customHeight="1">
      <x:c r="A16" s="104" t="str">
        <x:v>Create a relocation and commuting plan</x:v>
      </x:c>
      <x:c r="B16" s="104" t="str">
        <x:v>☐</x:v>
      </x:c>
      <x:c r="C16" s="104" t="str">
        <x:v>Planning</x:v>
      </x:c>
      <x:c r="D16" s="104" t="str">
        <x:v>Airlines may assign a base and require reporting within two hours.</x:v>
      </x:c>
      <x:c r="E16" s="108"/>
    </x:row>
    <x:row r="17" ht="40" customHeight="1">
      <x:c r="A17" s="104" t="str">
        <x:v>Prepare a safety example</x:v>
      </x:c>
      <x:c r="B17" s="104" t="str">
        <x:v>☐</x:v>
      </x:c>
      <x:c r="C17" s="104" t="str">
        <x:v>Interview Stories</x:v>
      </x:c>
      <x:c r="D17" s="104" t="str">
        <x:v>Use a real mechanic example involving inspection, hazards or following procedures.</x:v>
      </x:c>
      <x:c r="E17" s="108"/>
    </x:row>
    <x:row r="18" ht="40" customHeight="1">
      <x:c r="A18" s="104" t="str">
        <x:v>Prepare a difficult-customer example</x:v>
      </x:c>
      <x:c r="B18" s="104" t="str">
        <x:v>☐</x:v>
      </x:c>
      <x:c r="C18" s="104" t="str">
        <x:v>Interview Stories</x:v>
      </x:c>
      <x:c r="D18" s="104" t="str">
        <x:v>Explain the situation, action and positive result.</x:v>
      </x:c>
      <x:c r="E18" s="108"/>
    </x:row>
    <x:row r="19" ht="40" customHeight="1">
      <x:c r="A19" s="104" t="str">
        <x:v>Prepare a teamwork example</x:v>
      </x:c>
      <x:c r="B19" s="104" t="str">
        <x:v>☐</x:v>
      </x:c>
      <x:c r="C19" s="104" t="str">
        <x:v>Interview Stories</x:v>
      </x:c>
      <x:c r="D19" s="104" t="str">
        <x:v>Use coordination with technicians, service advisors or Chipotle coworkers.</x:v>
      </x:c>
      <x:c r="E19" s="108"/>
    </x:row>
    <x:row r="20" ht="40" customHeight="1">
      <x:c r="A20" s="104" t="str">
        <x:v>Prepare an under-pressure example</x:v>
      </x:c>
      <x:c r="B20" s="104" t="str">
        <x:v>☐</x:v>
      </x:c>
      <x:c r="C20" s="104" t="str">
        <x:v>Interview Stories</x:v>
      </x:c>
      <x:c r="D20" s="104" t="str">
        <x:v>Show calm judgment during a busy shift or unexpected repair issue.</x:v>
      </x:c>
      <x:c r="E20" s="108"/>
    </x:row>
    <x:row r="21" ht="40" customHeight="1">
      <x:c r="A21" s="104" t="str">
        <x:v>Prepare an adaptability example</x:v>
      </x:c>
      <x:c r="B21" s="104" t="str">
        <x:v>☐</x:v>
      </x:c>
      <x:c r="C21" s="104" t="str">
        <x:v>Interview Stories</x:v>
      </x:c>
      <x:c r="D21" s="104" t="str">
        <x:v>Describe switching priorities while maintaining accuracy and safety.</x:v>
      </x:c>
      <x:c r="E21" s="108"/>
    </x:row>
    <x:row r="22" ht="40" customHeight="1">
      <x:c r="A22" s="104" t="str">
        <x:v>Practice clear safety-style announcements</x:v>
      </x:c>
      <x:c r="B22" s="104" t="str">
        <x:v>☐</x:v>
      </x:c>
      <x:c r="C22" s="104" t="str">
        <x:v>Interview Practice</x:v>
      </x:c>
      <x:c r="D22" s="104" t="str">
        <x:v>Speak clearly, confidently and at a steady pace.</x:v>
      </x:c>
      <x:c r="E22" s="108"/>
    </x:row>
    <x:row r="23" ht="40" customHeight="1">
      <x:c r="A23" s="104" t="str">
        <x:v>Choose and prepare professional interview clothing</x:v>
      </x:c>
      <x:c r="B23" s="104" t="str">
        <x:v>☐</x:v>
      </x:c>
      <x:c r="C23" s="104" t="str">
        <x:v>Interview Practice</x:v>
      </x:c>
      <x:c r="D23" s="104" t="str">
        <x:v>Clean, pressed and conservative appearance.</x:v>
      </x:c>
      <x:c r="E23" s="108"/>
    </x:row>
    <x:row r="24" ht="40" customHeight="1">
      <x:c r="A24" s="104" t="str">
        <x:v>Test camera, microphone, lighting and internet</x:v>
      </x:c>
      <x:c r="B24" s="104" t="str">
        <x:v>☐</x:v>
      </x:c>
      <x:c r="C24" s="104" t="str">
        <x:v>Interview Practice</x:v>
      </x:c>
      <x:c r="D24" s="104" t="str">
        <x:v>Required for one-way and live virtual interviews.</x:v>
      </x:c>
      <x:c r="E24" s="108"/>
    </x:row>
    <x:row r="25" ht="40" customHeight="1">
      <x:c r="A25" s="104" t="str">
        <x:v>Save application confirmation number</x:v>
      </x:c>
      <x:c r="B25" s="104" t="str">
        <x:v>☐</x:v>
      </x:c>
      <x:c r="C25" s="104" t="str">
        <x:v>After Applying</x:v>
      </x:c>
      <x:c r="D25" s="104" t="str">
        <x:v>Enter it in the tracker immediately after submitting.</x:v>
      </x:c>
      <x:c r="E25" s="108"/>
    </x:row>
    <x:row r="26" ht="40" customHeight="1">
      <x:c r="A26" s="104" t="str">
        <x:v>Record the application date</x:v>
      </x:c>
      <x:c r="B26" s="104" t="str">
        <x:v>☐</x:v>
      </x:c>
      <x:c r="C26" s="104" t="str">
        <x:v>After Applying</x:v>
      </x:c>
      <x:c r="D26" s="104" t="str">
        <x:v>The tracker automatically suggests a seven-day follow-up date.</x:v>
      </x:c>
      <x:c r="E26" s="108"/>
    </x:row>
    <x:row r="27" ht="40" customHeight="1">
      <x:c r="A27" s="104" t="str">
        <x:v>Monitor email and candidate portals daily</x:v>
      </x:c>
      <x:c r="B27" s="104" t="str">
        <x:v>☐</x:v>
      </x:c>
      <x:c r="C27" s="104" t="str">
        <x:v>After Applying</x:v>
      </x:c>
      <x:c r="D27" s="104" t="str">
        <x:v>Assessments may have short completion deadlines.</x:v>
      </x:c>
      <x:c r="E27" s="108"/>
    </x:row>
    <x:row r="28" ht="40" customHeight="1">
      <x:c r="A28" s="104" t="str">
        <x:v>Send a thank-you after a live interview</x:v>
      </x:c>
      <x:c r="B28" s="104" t="str">
        <x:v>☐</x:v>
      </x:c>
      <x:c r="C28" s="104" t="str">
        <x:v>After Interview</x:v>
      </x:c>
      <x:c r="D28" s="104" t="str">
        <x:v>Send within 24 hours when recruiter contact information is available.</x:v>
      </x:c>
      <x:c r="E28" s="108"/>
    </x:row>
  </x:sheetData>
  <x:mergeCells>
    <x:mergeCell ref="A1:E1"/>
    <x:mergeCell ref="A2:E2"/>
  </x:mergeCells>
  <x:conditionalFormatting sqref="B5:B28">
    <x:cfRule type="expression" dxfId="14" priority="1">
      <x:formula>B5="☑"</x:formula>
    </x:cfRule>
  </x:conditionalFormatting>
  <x:dataValidations count="1">
    <x:dataValidation type="list" sqref="B5:B28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34b95d782f4933"/>
  </x:tableParts>
</x:worksheet>
</file>